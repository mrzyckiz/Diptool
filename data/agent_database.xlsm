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eusz\Desktop\Diptool\Blona_dipole\Blona_poprawki_laptop\github_diptool\Diptool\data\"/>
    </mc:Choice>
  </mc:AlternateContent>
  <xr:revisionPtr revIDLastSave="0" documentId="13_ncr:1_{6EFBA07A-A45F-4B23-B628-56608B566FF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oweZestawieni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1" i="3" l="1"/>
  <c r="I216" i="3" l="1"/>
  <c r="I65" i="3" l="1"/>
  <c r="I217" i="3" l="1"/>
  <c r="I218" i="3"/>
  <c r="I219" i="3"/>
  <c r="I220" i="3"/>
  <c r="I208" i="3" l="1"/>
  <c r="I206" i="3"/>
  <c r="I207" i="3"/>
  <c r="I205" i="3"/>
  <c r="I191" i="3" l="1"/>
  <c r="I188" i="3"/>
  <c r="I187" i="3"/>
  <c r="I186" i="3"/>
  <c r="I185" i="3"/>
  <c r="I172" i="3"/>
  <c r="I164" i="3"/>
  <c r="I165" i="3"/>
  <c r="I166" i="3"/>
  <c r="I167" i="3"/>
  <c r="I168" i="3"/>
  <c r="I163" i="3"/>
  <c r="I102" i="3"/>
  <c r="I103" i="3"/>
  <c r="I104" i="3"/>
  <c r="I105" i="3"/>
  <c r="I106" i="3"/>
  <c r="I107" i="3"/>
  <c r="I108" i="3"/>
  <c r="I109" i="3"/>
  <c r="I110" i="3"/>
  <c r="I84" i="3"/>
  <c r="I85" i="3"/>
  <c r="I86" i="3"/>
  <c r="I87" i="3"/>
  <c r="I88" i="3"/>
  <c r="I83" i="3"/>
  <c r="I80" i="3"/>
  <c r="I76" i="3"/>
  <c r="I77" i="3"/>
  <c r="I78" i="3"/>
  <c r="I79" i="3"/>
  <c r="I75" i="3"/>
  <c r="I61" i="3"/>
  <c r="I60" i="3"/>
  <c r="I59" i="3"/>
  <c r="I58" i="3"/>
  <c r="I57" i="3"/>
  <c r="I64" i="3"/>
  <c r="I63" i="3"/>
  <c r="I62" i="3"/>
  <c r="I54" i="3"/>
  <c r="I53" i="3"/>
  <c r="I52" i="3"/>
  <c r="I51" i="3"/>
  <c r="I50" i="3"/>
  <c r="I56" i="3"/>
  <c r="I55" i="3"/>
  <c r="I21" i="3"/>
  <c r="I8" i="3"/>
  <c r="I3" i="3"/>
  <c r="I40" i="3"/>
  <c r="I34" i="3"/>
  <c r="I28" i="3"/>
  <c r="I22" i="3"/>
  <c r="I15" i="3"/>
  <c r="I9" i="3"/>
  <c r="I6" i="3"/>
  <c r="I4" i="3"/>
  <c r="I35" i="3"/>
  <c r="I47" i="3"/>
  <c r="I29" i="3"/>
  <c r="I23" i="3"/>
  <c r="I16" i="3"/>
  <c r="I10" i="3"/>
  <c r="I7" i="3"/>
  <c r="I5" i="3"/>
  <c r="I48" i="3"/>
  <c r="I42" i="3"/>
  <c r="I36" i="3"/>
  <c r="I33" i="3"/>
  <c r="I32" i="3"/>
  <c r="I31" i="3"/>
  <c r="I30" i="3"/>
  <c r="I27" i="3"/>
  <c r="I26" i="3"/>
  <c r="I25" i="3"/>
  <c r="I24" i="3"/>
  <c r="I20" i="3"/>
  <c r="I19" i="3"/>
  <c r="I18" i="3"/>
  <c r="I17" i="3"/>
  <c r="I14" i="3"/>
  <c r="I13" i="3"/>
  <c r="I12" i="3"/>
  <c r="I11" i="3"/>
  <c r="I46" i="3"/>
  <c r="I45" i="3"/>
  <c r="I39" i="3"/>
  <c r="I44" i="3"/>
  <c r="I38" i="3"/>
  <c r="I49" i="3"/>
  <c r="I43" i="3"/>
  <c r="I37" i="3"/>
</calcChain>
</file>

<file path=xl/sharedStrings.xml><?xml version="1.0" encoding="utf-8"?>
<sst xmlns="http://schemas.openxmlformats.org/spreadsheetml/2006/main" count="1563" uniqueCount="852">
  <si>
    <t>Linker</t>
  </si>
  <si>
    <t>QAS</t>
  </si>
  <si>
    <t>Br</t>
  </si>
  <si>
    <t>H</t>
  </si>
  <si>
    <t>Alkyl Bisp</t>
  </si>
  <si>
    <t>Cl</t>
  </si>
  <si>
    <t>Aryl Bisp</t>
  </si>
  <si>
    <t>F</t>
  </si>
  <si>
    <t>I</t>
  </si>
  <si>
    <t>fQAS</t>
  </si>
  <si>
    <t>O</t>
  </si>
  <si>
    <t>Butene</t>
  </si>
  <si>
    <t>Algine</t>
  </si>
  <si>
    <t>ID</t>
  </si>
  <si>
    <t>N/A</t>
  </si>
  <si>
    <t>Ring</t>
  </si>
  <si>
    <t>Ester</t>
  </si>
  <si>
    <t>Serine</t>
  </si>
  <si>
    <t>Sacharide</t>
  </si>
  <si>
    <t>Adamantane</t>
  </si>
  <si>
    <t>Acetyl</t>
  </si>
  <si>
    <t>Glucose</t>
  </si>
  <si>
    <t>Pyridine</t>
  </si>
  <si>
    <t>Gluconamid</t>
  </si>
  <si>
    <t>diGalactose</t>
  </si>
  <si>
    <t>Cl-</t>
  </si>
  <si>
    <t>imidazolium</t>
  </si>
  <si>
    <t>Br-</t>
  </si>
  <si>
    <t>bifunction</t>
  </si>
  <si>
    <t>Aza</t>
  </si>
  <si>
    <t>Imino</t>
  </si>
  <si>
    <t>Oleyl</t>
  </si>
  <si>
    <t>hQAS</t>
  </si>
  <si>
    <t>N</t>
  </si>
  <si>
    <t>tQAS</t>
  </si>
  <si>
    <t>Alg_9_11</t>
  </si>
  <si>
    <t>Alg_4_11</t>
  </si>
  <si>
    <t>Alg_4_09</t>
  </si>
  <si>
    <t>Alg_3_11</t>
  </si>
  <si>
    <t>Alg_2_11</t>
  </si>
  <si>
    <t>Alk_9_06</t>
  </si>
  <si>
    <t>Alk_8_06</t>
  </si>
  <si>
    <t>Alk_7_06</t>
  </si>
  <si>
    <t>Alk_6_06</t>
  </si>
  <si>
    <t>Alk_5_06</t>
  </si>
  <si>
    <t>Alk_4_06</t>
  </si>
  <si>
    <t>Alk10_06</t>
  </si>
  <si>
    <t>Alk14_06</t>
  </si>
  <si>
    <t>Alk12_06</t>
  </si>
  <si>
    <t>Alk_9_07</t>
  </si>
  <si>
    <t>Alk_9_08</t>
  </si>
  <si>
    <t>Alk_8_07</t>
  </si>
  <si>
    <t>Alk_7_07</t>
  </si>
  <si>
    <t>Alk_6_07</t>
  </si>
  <si>
    <t>Alk_5_07</t>
  </si>
  <si>
    <t>Alk_4_07</t>
  </si>
  <si>
    <t>Alk14_07</t>
  </si>
  <si>
    <t>Alk12_07</t>
  </si>
  <si>
    <t>Alk10_07</t>
  </si>
  <si>
    <t>Alk_8_08</t>
  </si>
  <si>
    <t>Alk_7_08</t>
  </si>
  <si>
    <t>Alk_6_08</t>
  </si>
  <si>
    <t>Alk12_08</t>
  </si>
  <si>
    <t>Alk10_08</t>
  </si>
  <si>
    <t>Alk_9_09</t>
  </si>
  <si>
    <t>Alk_9_12</t>
  </si>
  <si>
    <t>Alk_9_10</t>
  </si>
  <si>
    <t>Alk_8_12</t>
  </si>
  <si>
    <t>Alk_8_10</t>
  </si>
  <si>
    <t>Alk_8_09</t>
  </si>
  <si>
    <t>Alk_7_12</t>
  </si>
  <si>
    <t>Alk_7_10</t>
  </si>
  <si>
    <t>Alk_7_09</t>
  </si>
  <si>
    <t>Alk_6_12</t>
  </si>
  <si>
    <t>Alk_6_10</t>
  </si>
  <si>
    <t>Alk_6_09</t>
  </si>
  <si>
    <t>Alk12_12</t>
  </si>
  <si>
    <t>Alk12_10</t>
  </si>
  <si>
    <t>Alk10_10</t>
  </si>
  <si>
    <t>Alk12_09</t>
  </si>
  <si>
    <t>Alk10_09</t>
  </si>
  <si>
    <t>Alk14_08</t>
  </si>
  <si>
    <t>But_4_11</t>
  </si>
  <si>
    <t>But_4_14</t>
  </si>
  <si>
    <t>But_4_12</t>
  </si>
  <si>
    <t>fQS_3_08a</t>
  </si>
  <si>
    <t>fQS_6_08a</t>
  </si>
  <si>
    <t>fQS_4_08a</t>
  </si>
  <si>
    <t>fQS_4_08b</t>
  </si>
  <si>
    <t>fQS_4_08c</t>
  </si>
  <si>
    <t>fQS_2_08a</t>
  </si>
  <si>
    <t>fQS12_12</t>
  </si>
  <si>
    <t>fQS12_12b</t>
  </si>
  <si>
    <t>fQS12_14c</t>
  </si>
  <si>
    <t>fQS_6_14c</t>
  </si>
  <si>
    <t>fQS_6_15d</t>
  </si>
  <si>
    <t>fQS12_15d</t>
  </si>
  <si>
    <t>fQS_6_14d</t>
  </si>
  <si>
    <t>fQS_6_14e</t>
  </si>
  <si>
    <t>Rin_01_14</t>
  </si>
  <si>
    <t>Rin_01_16</t>
  </si>
  <si>
    <t>Rin_01_12b</t>
  </si>
  <si>
    <t>QAS_6_12</t>
  </si>
  <si>
    <t>QAS_5_12</t>
  </si>
  <si>
    <t>QAS_4_12</t>
  </si>
  <si>
    <t>QAS_3_12</t>
  </si>
  <si>
    <t>QAS_2_12</t>
  </si>
  <si>
    <t>QAS_8_06b</t>
  </si>
  <si>
    <t>QAS_4_12b</t>
  </si>
  <si>
    <t>QAS_4_06b</t>
  </si>
  <si>
    <t>QAS_4_16c</t>
  </si>
  <si>
    <t>QAS_4_10c</t>
  </si>
  <si>
    <t>QAS_4_14d</t>
  </si>
  <si>
    <t>QAS_4_12d</t>
  </si>
  <si>
    <t>QAS_4_10d</t>
  </si>
  <si>
    <t>Br / Cl</t>
  </si>
  <si>
    <t>QAS_4_14</t>
  </si>
  <si>
    <t>QAS_4_10</t>
  </si>
  <si>
    <t>QAS_5_16</t>
  </si>
  <si>
    <t>QAS_3_10e</t>
  </si>
  <si>
    <t>QAS_3_12e</t>
  </si>
  <si>
    <t>QAS_2_06e</t>
  </si>
  <si>
    <t>QAS_2_08e</t>
  </si>
  <si>
    <t>QAS_2_12e</t>
  </si>
  <si>
    <t>QAS_2_14e</t>
  </si>
  <si>
    <t>QAS_4_14f</t>
  </si>
  <si>
    <t>QAS_4_12f</t>
  </si>
  <si>
    <t>QAS_4_10f</t>
  </si>
  <si>
    <t>Est_2_10</t>
  </si>
  <si>
    <t>Est_2_12</t>
  </si>
  <si>
    <t>Est_2_14</t>
  </si>
  <si>
    <t>Est_3_08</t>
  </si>
  <si>
    <t>Est_2_08</t>
  </si>
  <si>
    <t>Est_3_10</t>
  </si>
  <si>
    <t>Est_3_12</t>
  </si>
  <si>
    <t>Est_3_06</t>
  </si>
  <si>
    <t>Est_3_14</t>
  </si>
  <si>
    <t>Ion_2_08</t>
  </si>
  <si>
    <t>Ion_2_10</t>
  </si>
  <si>
    <t>Ion_2_12</t>
  </si>
  <si>
    <t>Ion_2_14</t>
  </si>
  <si>
    <t>Ion_2_16</t>
  </si>
  <si>
    <t>Ion_4_08</t>
  </si>
  <si>
    <t>Ion_4_10</t>
  </si>
  <si>
    <t>Ion_4_12</t>
  </si>
  <si>
    <t>Ion_4_14</t>
  </si>
  <si>
    <t>Ion_4_16</t>
  </si>
  <si>
    <t>Ion_6_08</t>
  </si>
  <si>
    <t>Ion_6_10</t>
  </si>
  <si>
    <t>Ion_6_12</t>
  </si>
  <si>
    <t>Ion_6_14</t>
  </si>
  <si>
    <t>Ion_6_16</t>
  </si>
  <si>
    <t>Ionic</t>
  </si>
  <si>
    <t>QAS_6_16</t>
  </si>
  <si>
    <t>QAS_2_16g</t>
  </si>
  <si>
    <t>QAS10_12</t>
  </si>
  <si>
    <t>QAS_4_12h</t>
  </si>
  <si>
    <t>QAS_8_12h</t>
  </si>
  <si>
    <t>QAS12_12h</t>
  </si>
  <si>
    <t>QAS_6_07</t>
  </si>
  <si>
    <t>QAS_6_08</t>
  </si>
  <si>
    <t>QAS_6_09</t>
  </si>
  <si>
    <t>QAS_6_10</t>
  </si>
  <si>
    <t>tQS_6_1212</t>
  </si>
  <si>
    <t>tQS_6_1012</t>
  </si>
  <si>
    <t>tQS_6_0812</t>
  </si>
  <si>
    <t>tQS_4_1212</t>
  </si>
  <si>
    <t>tQS_4_1203</t>
  </si>
  <si>
    <t>tQS_4_1202</t>
  </si>
  <si>
    <t>tQS_4_1003</t>
  </si>
  <si>
    <t>tQS_4_1002</t>
  </si>
  <si>
    <t>tQS_4_0803</t>
  </si>
  <si>
    <t>tQS_4_0802</t>
  </si>
  <si>
    <t>QAS12_12</t>
  </si>
  <si>
    <t>Alk_9_06b</t>
  </si>
  <si>
    <t>Alk_8_06b</t>
  </si>
  <si>
    <t>Alk_7_06b</t>
  </si>
  <si>
    <t>Alk_6_06b</t>
  </si>
  <si>
    <t>Alk_5_06b</t>
  </si>
  <si>
    <t>Alk_4_06b</t>
  </si>
  <si>
    <t>Alk10_06b</t>
  </si>
  <si>
    <t>Alk_8_00</t>
  </si>
  <si>
    <t>Alk_6_00</t>
  </si>
  <si>
    <t>Alk_4_00</t>
  </si>
  <si>
    <t>Alk12_00</t>
  </si>
  <si>
    <t>Alk10_00</t>
  </si>
  <si>
    <t>Alk_9_08c</t>
  </si>
  <si>
    <t>Alk_8_08c</t>
  </si>
  <si>
    <t>Alk_7_08c</t>
  </si>
  <si>
    <t>Alk_6_08c</t>
  </si>
  <si>
    <t>Alk_5_08c</t>
  </si>
  <si>
    <t>Alk_4_08c</t>
  </si>
  <si>
    <t>Alk12_08c</t>
  </si>
  <si>
    <t>Alk10_08c</t>
  </si>
  <si>
    <t>Ary_9_00</t>
  </si>
  <si>
    <t>Ary_8_00b</t>
  </si>
  <si>
    <t>Ary_7_00</t>
  </si>
  <si>
    <t>Ary_6_00b</t>
  </si>
  <si>
    <t>Ary_5_00</t>
  </si>
  <si>
    <t>Ary_4_00</t>
  </si>
  <si>
    <t>Ary10_00</t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</si>
  <si>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</si>
  <si>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9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</si>
  <si>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8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</si>
  <si>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7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</si>
  <si>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6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</si>
  <si>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5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</si>
  <si>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4</t>
    </r>
  </si>
  <si>
    <t>12 &amp; 12</t>
  </si>
  <si>
    <t>10 &amp; 12</t>
  </si>
  <si>
    <t>8 &amp; 12</t>
  </si>
  <si>
    <t>12 &amp; 3</t>
  </si>
  <si>
    <t>12 &amp; 2</t>
  </si>
  <si>
    <t>10 &amp; 3</t>
  </si>
  <si>
    <t>10 &amp; 2</t>
  </si>
  <si>
    <t>8 &amp; 3</t>
  </si>
  <si>
    <t>8 &amp; 2</t>
  </si>
  <si>
    <t>Adm_1_12</t>
  </si>
  <si>
    <t>Adm_1_14</t>
  </si>
  <si>
    <t>Adm_1_16</t>
  </si>
  <si>
    <t>Act_2_08</t>
  </si>
  <si>
    <t>Act_2_12</t>
  </si>
  <si>
    <t>Act_2_18</t>
  </si>
  <si>
    <t>Act_2_11c</t>
  </si>
  <si>
    <t>Act_2_12b</t>
  </si>
  <si>
    <t>Pyr_3_08</t>
  </si>
  <si>
    <t>Pyr_4_08</t>
  </si>
  <si>
    <t>Pyr_8_08</t>
  </si>
  <si>
    <t>Pyr12_08</t>
  </si>
  <si>
    <t>QAS_6_13i</t>
  </si>
  <si>
    <t>QAS_6_1311</t>
  </si>
  <si>
    <t>13 &amp; 11</t>
  </si>
  <si>
    <t>QAS_6_1410</t>
  </si>
  <si>
    <t>14 &amp; 10</t>
  </si>
  <si>
    <t>QAS_6_1608</t>
  </si>
  <si>
    <t>16 &amp; 8</t>
  </si>
  <si>
    <t>QAS_6_1806</t>
  </si>
  <si>
    <t>18 &amp; 6</t>
  </si>
  <si>
    <t>QAS_6_1206</t>
  </si>
  <si>
    <t>12 &amp; 6</t>
  </si>
  <si>
    <t>QAS_6_1406</t>
  </si>
  <si>
    <t>14 &amp; 6</t>
  </si>
  <si>
    <t>QAS_6_1606</t>
  </si>
  <si>
    <t>16 &amp; 6</t>
  </si>
  <si>
    <t>QAS_2_12j</t>
  </si>
  <si>
    <t>QAS_6_12j</t>
  </si>
  <si>
    <t>QAS12_12j</t>
  </si>
  <si>
    <t>QAS_6_12k</t>
  </si>
  <si>
    <t>QAS_2_15l</t>
  </si>
  <si>
    <t>QAS_6_15l</t>
  </si>
  <si>
    <t>QAS_6_15m</t>
  </si>
  <si>
    <t>QAS_6_15n</t>
  </si>
  <si>
    <t>Ole_2_18</t>
  </si>
  <si>
    <t>Ole_3_18</t>
  </si>
  <si>
    <t>Ole_6_18</t>
  </si>
  <si>
    <t>Glu_6_06</t>
  </si>
  <si>
    <t>Glu_8_06</t>
  </si>
  <si>
    <t>Glu_6_12</t>
  </si>
  <si>
    <t>Glu_8_12</t>
  </si>
  <si>
    <t>Imi_3_12</t>
  </si>
  <si>
    <t>Imi_4_12</t>
  </si>
  <si>
    <t>Imi_5_12</t>
  </si>
  <si>
    <t>Imi_6_12</t>
  </si>
  <si>
    <t>Imi_8_12</t>
  </si>
  <si>
    <t>Imi_5_10b</t>
  </si>
  <si>
    <t>Imi_5_06b</t>
  </si>
  <si>
    <t>Imi_5_07b</t>
  </si>
  <si>
    <t>Imi_5_16b</t>
  </si>
  <si>
    <t>Imi10_12c</t>
  </si>
  <si>
    <t>Imi_6_12c</t>
  </si>
  <si>
    <t>Imi_2_10d</t>
  </si>
  <si>
    <t>Imi_4_10d</t>
  </si>
  <si>
    <t>Imi_6_10d</t>
  </si>
  <si>
    <t>Imi_2_12d</t>
  </si>
  <si>
    <t>Imi_4_12d</t>
  </si>
  <si>
    <t>Imi_6_12d</t>
  </si>
  <si>
    <t>Imi_2_14d</t>
  </si>
  <si>
    <t>Imi_4_14d</t>
  </si>
  <si>
    <t>Imi_6_14d</t>
  </si>
  <si>
    <t>Srn12_12</t>
  </si>
  <si>
    <t>Srn12_12b</t>
  </si>
  <si>
    <t>Srn12_12c</t>
  </si>
  <si>
    <t>Sch_1_11</t>
  </si>
  <si>
    <t>Sch_1_13</t>
  </si>
  <si>
    <t>Glc_2_08</t>
  </si>
  <si>
    <t>HCl</t>
  </si>
  <si>
    <t>dGl10_05</t>
  </si>
  <si>
    <t>Bfn11_01</t>
  </si>
  <si>
    <t>Bfn13_01</t>
  </si>
  <si>
    <t>Bfn15_01</t>
  </si>
  <si>
    <t>Ion12_12b</t>
  </si>
  <si>
    <t>Ion14_12b</t>
  </si>
  <si>
    <t>Ion_4_12c</t>
  </si>
  <si>
    <t>Ion_4_12d</t>
  </si>
  <si>
    <t>Aza_5_12</t>
  </si>
  <si>
    <t>Aza_8_12</t>
  </si>
  <si>
    <t>Aza_7_12</t>
  </si>
  <si>
    <t>Imo_7_12</t>
  </si>
  <si>
    <t>oQS_5_12</t>
  </si>
  <si>
    <t>O-QAS</t>
  </si>
  <si>
    <t>hQS_1_12</t>
  </si>
  <si>
    <t>hQS_1_12b</t>
  </si>
  <si>
    <t>Ary_6_00</t>
  </si>
  <si>
    <t>Ary_8_00</t>
  </si>
  <si>
    <t>OKT</t>
  </si>
  <si>
    <t>QAS_2_16b</t>
  </si>
  <si>
    <t>QAS_2_12b</t>
  </si>
  <si>
    <t>QAS_2_06b</t>
  </si>
  <si>
    <t>Octenidine</t>
  </si>
  <si>
    <t>Segname</t>
  </si>
  <si>
    <t>A4A</t>
  </si>
  <si>
    <t>A4B</t>
  </si>
  <si>
    <t>A4C</t>
  </si>
  <si>
    <t>A5A</t>
  </si>
  <si>
    <t>A5B</t>
  </si>
  <si>
    <t>A6A</t>
  </si>
  <si>
    <t>A6B</t>
  </si>
  <si>
    <t>A6C</t>
  </si>
  <si>
    <t>A6D</t>
  </si>
  <si>
    <t>A6E</t>
  </si>
  <si>
    <t>A6F</t>
  </si>
  <si>
    <t>A6G</t>
  </si>
  <si>
    <t>A7A</t>
  </si>
  <si>
    <t>A7B</t>
  </si>
  <si>
    <t>A7C</t>
  </si>
  <si>
    <t>A7E</t>
  </si>
  <si>
    <t>A7F</t>
  </si>
  <si>
    <t>A7G</t>
  </si>
  <si>
    <t>A8A</t>
  </si>
  <si>
    <t>A8B</t>
  </si>
  <si>
    <t>A8C</t>
  </si>
  <si>
    <t>A8D</t>
  </si>
  <si>
    <t>A8E</t>
  </si>
  <si>
    <t>A8F</t>
  </si>
  <si>
    <t>A9B</t>
  </si>
  <si>
    <t>A9C</t>
  </si>
  <si>
    <t>A9D</t>
  </si>
  <si>
    <t>A9E</t>
  </si>
  <si>
    <t>A9F</t>
  </si>
  <si>
    <t>A9G</t>
  </si>
  <si>
    <t>A0A</t>
  </si>
  <si>
    <t>A0B</t>
  </si>
  <si>
    <t>A0C</t>
  </si>
  <si>
    <t>A0D</t>
  </si>
  <si>
    <t>A0E</t>
  </si>
  <si>
    <t>A0F</t>
  </si>
  <si>
    <t>A0H</t>
  </si>
  <si>
    <t>A0I</t>
  </si>
  <si>
    <t>A0J</t>
  </si>
  <si>
    <t>A0K</t>
  </si>
  <si>
    <t>A0L</t>
  </si>
  <si>
    <t>A0M</t>
  </si>
  <si>
    <t>A0N</t>
  </si>
  <si>
    <t>A0O</t>
  </si>
  <si>
    <t>A0P</t>
  </si>
  <si>
    <t>A0R</t>
  </si>
  <si>
    <t>AA1</t>
  </si>
  <si>
    <t>AA2</t>
  </si>
  <si>
    <t>AA3</t>
  </si>
  <si>
    <t>AA4</t>
  </si>
  <si>
    <t>AA5</t>
  </si>
  <si>
    <t>AA6</t>
  </si>
  <si>
    <t>AA7</t>
  </si>
  <si>
    <t>AB1</t>
  </si>
  <si>
    <t>AB2</t>
  </si>
  <si>
    <t>AB3</t>
  </si>
  <si>
    <t>AB4</t>
  </si>
  <si>
    <t>AB5</t>
  </si>
  <si>
    <t>AB6</t>
  </si>
  <si>
    <t>AB7</t>
  </si>
  <si>
    <t>AB8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</si>
  <si>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</si>
  <si>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</si>
  <si>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</si>
  <si>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</si>
  <si>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</si>
  <si>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</si>
  <si>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</si>
  <si>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</si>
  <si>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</si>
  <si>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AL1</t>
  </si>
  <si>
    <t>AL2</t>
  </si>
  <si>
    <t>AL3</t>
  </si>
  <si>
    <t>AL4</t>
  </si>
  <si>
    <t>AL5</t>
  </si>
  <si>
    <t>BU1</t>
  </si>
  <si>
    <t>BU2</t>
  </si>
  <si>
    <t>BU3</t>
  </si>
  <si>
    <t>F6A</t>
  </si>
  <si>
    <t>F4A</t>
  </si>
  <si>
    <t>F4B</t>
  </si>
  <si>
    <t>F4C</t>
  </si>
  <si>
    <t>F3A</t>
  </si>
  <si>
    <t>F2A</t>
  </si>
  <si>
    <t>F4D</t>
  </si>
  <si>
    <t>F4E</t>
  </si>
  <si>
    <t>F0A</t>
  </si>
  <si>
    <t>F0B</t>
  </si>
  <si>
    <t>F6B</t>
  </si>
  <si>
    <t>F0C</t>
  </si>
  <si>
    <t>F0D</t>
  </si>
  <si>
    <t>F6C</t>
  </si>
  <si>
    <t>F6D</t>
  </si>
  <si>
    <t>RI1</t>
  </si>
  <si>
    <t>RI2</t>
  </si>
  <si>
    <t>RI3</t>
  </si>
  <si>
    <t>E2B</t>
  </si>
  <si>
    <t>E2C</t>
  </si>
  <si>
    <t>E2D</t>
  </si>
  <si>
    <t>E2E</t>
  </si>
  <si>
    <t>E3A</t>
  </si>
  <si>
    <t>E3B</t>
  </si>
  <si>
    <t>E3C</t>
  </si>
  <si>
    <t>E3D</t>
  </si>
  <si>
    <t>E3E</t>
  </si>
  <si>
    <t>I2A</t>
  </si>
  <si>
    <t>I2B</t>
  </si>
  <si>
    <t>I2C</t>
  </si>
  <si>
    <t>I2D</t>
  </si>
  <si>
    <t>I2E</t>
  </si>
  <si>
    <t>I4A</t>
  </si>
  <si>
    <t>I4B</t>
  </si>
  <si>
    <t>I4C</t>
  </si>
  <si>
    <t>I4D</t>
  </si>
  <si>
    <t>I4E</t>
  </si>
  <si>
    <t>I6A</t>
  </si>
  <si>
    <t>I6B</t>
  </si>
  <si>
    <t>I6C</t>
  </si>
  <si>
    <t>I6D</t>
  </si>
  <si>
    <t>I6E</t>
  </si>
  <si>
    <t>I0A</t>
  </si>
  <si>
    <t>I0B</t>
  </si>
  <si>
    <t>I4F</t>
  </si>
  <si>
    <t>IFG</t>
  </si>
  <si>
    <t>AD1</t>
  </si>
  <si>
    <t>AD2</t>
  </si>
  <si>
    <t>AD3</t>
  </si>
  <si>
    <t>PY1</t>
  </si>
  <si>
    <t>PY3</t>
  </si>
  <si>
    <t>PY2</t>
  </si>
  <si>
    <t>PY4</t>
  </si>
  <si>
    <t>OL2</t>
  </si>
  <si>
    <t>OL3</t>
  </si>
  <si>
    <t>OL6</t>
  </si>
  <si>
    <t>GL1</t>
  </si>
  <si>
    <t>GL2</t>
  </si>
  <si>
    <t>GL3</t>
  </si>
  <si>
    <t>GL4</t>
  </si>
  <si>
    <t>M3A</t>
  </si>
  <si>
    <t>M4A</t>
  </si>
  <si>
    <t>M5A</t>
  </si>
  <si>
    <t>M6A</t>
  </si>
  <si>
    <t>M8A</t>
  </si>
  <si>
    <t>M5B</t>
  </si>
  <si>
    <t>M5C</t>
  </si>
  <si>
    <t>M5D</t>
  </si>
  <si>
    <t>M5E</t>
  </si>
  <si>
    <t>M6B</t>
  </si>
  <si>
    <t>M0A</t>
  </si>
  <si>
    <t>M2C</t>
  </si>
  <si>
    <t>M2D</t>
  </si>
  <si>
    <t>M4C</t>
  </si>
  <si>
    <t>M4D</t>
  </si>
  <si>
    <t>M4E</t>
  </si>
  <si>
    <t>M2E</t>
  </si>
  <si>
    <t>M6C</t>
  </si>
  <si>
    <t>M6D</t>
  </si>
  <si>
    <t>M6E</t>
  </si>
  <si>
    <t>SE1</t>
  </si>
  <si>
    <t>SE2</t>
  </si>
  <si>
    <t>SE3</t>
  </si>
  <si>
    <t>SA1</t>
  </si>
  <si>
    <t>SA2</t>
  </si>
  <si>
    <t>GU1</t>
  </si>
  <si>
    <t>DGU</t>
  </si>
  <si>
    <t>BF1</t>
  </si>
  <si>
    <t>BF3</t>
  </si>
  <si>
    <t>BF5</t>
  </si>
  <si>
    <t>AZ5</t>
  </si>
  <si>
    <t>AZ8</t>
  </si>
  <si>
    <t>AZ7</t>
  </si>
  <si>
    <t>IMO</t>
  </si>
  <si>
    <t>OQS</t>
  </si>
  <si>
    <t>HQ1</t>
  </si>
  <si>
    <t>HQ2</t>
  </si>
  <si>
    <t>Q6A</t>
  </si>
  <si>
    <t>Q5A</t>
  </si>
  <si>
    <t>Q4A</t>
  </si>
  <si>
    <t>Q3A</t>
  </si>
  <si>
    <t>Q2A</t>
  </si>
  <si>
    <t>Q4D</t>
  </si>
  <si>
    <t>Q4C</t>
  </si>
  <si>
    <t>Q5B</t>
  </si>
  <si>
    <t>Q0A</t>
  </si>
  <si>
    <t>Q6B</t>
  </si>
  <si>
    <t>Q6C</t>
  </si>
  <si>
    <t>Q6D</t>
  </si>
  <si>
    <t>Q6E</t>
  </si>
  <si>
    <t>Q6G</t>
  </si>
  <si>
    <t>Q0B</t>
  </si>
  <si>
    <t>QDA</t>
  </si>
  <si>
    <t>QDB</t>
  </si>
  <si>
    <t>QDC</t>
  </si>
  <si>
    <t>QDD</t>
  </si>
  <si>
    <t>QDE</t>
  </si>
  <si>
    <t>QDF</t>
  </si>
  <si>
    <t>QDG</t>
  </si>
  <si>
    <t>W8C</t>
  </si>
  <si>
    <t>W4B</t>
  </si>
  <si>
    <t>W4C</t>
  </si>
  <si>
    <t>W2A</t>
  </si>
  <si>
    <t>W2B</t>
  </si>
  <si>
    <t>W2C</t>
  </si>
  <si>
    <t>Q4E</t>
  </si>
  <si>
    <t>Q4H</t>
  </si>
  <si>
    <t>Q4J</t>
  </si>
  <si>
    <t>Q4K</t>
  </si>
  <si>
    <t>Q4L</t>
  </si>
  <si>
    <t>V3A</t>
  </si>
  <si>
    <t>V3B</t>
  </si>
  <si>
    <t>V2A</t>
  </si>
  <si>
    <t>V2B</t>
  </si>
  <si>
    <t>V2D</t>
  </si>
  <si>
    <t>V2E</t>
  </si>
  <si>
    <t>V4B</t>
  </si>
  <si>
    <t>V4C</t>
  </si>
  <si>
    <t>V4D</t>
  </si>
  <si>
    <t>V2F</t>
  </si>
  <si>
    <t>V4K</t>
  </si>
  <si>
    <t>V8K</t>
  </si>
  <si>
    <t>V0K</t>
  </si>
  <si>
    <t>Q6L</t>
  </si>
  <si>
    <t>Q2M</t>
  </si>
  <si>
    <t>Q6M</t>
  </si>
  <si>
    <t>Q0M</t>
  </si>
  <si>
    <t>Q6N</t>
  </si>
  <si>
    <t>Q2R</t>
  </si>
  <si>
    <t>Q6R</t>
  </si>
  <si>
    <t>Q6S</t>
  </si>
  <si>
    <t>Q6P</t>
  </si>
  <si>
    <t>T6A</t>
  </si>
  <si>
    <t>T6B</t>
  </si>
  <si>
    <t>T6C</t>
  </si>
  <si>
    <t>T4A</t>
  </si>
  <si>
    <t>T4B</t>
  </si>
  <si>
    <t>T4C</t>
  </si>
  <si>
    <t>T4E</t>
  </si>
  <si>
    <t>T4F</t>
  </si>
  <si>
    <t>T4H</t>
  </si>
  <si>
    <t>T4I</t>
  </si>
  <si>
    <t>TQA</t>
  </si>
  <si>
    <t>TQB</t>
  </si>
  <si>
    <t>A8G</t>
  </si>
  <si>
    <t>tQ16_1005</t>
  </si>
  <si>
    <t>tQ20_1005</t>
  </si>
  <si>
    <t>Group</t>
  </si>
  <si>
    <t>Scheme</t>
  </si>
  <si>
    <t>Linker length (n)</t>
  </si>
  <si>
    <t>Chain compound (R1 or R2)</t>
  </si>
  <si>
    <t>Number of carbons in R1/R2 (m)</t>
  </si>
  <si>
    <t>Number of carbons from N+</t>
  </si>
  <si>
    <t>Chemical formula</t>
  </si>
  <si>
    <t>Organic salt</t>
  </si>
  <si>
    <t>Reference</t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</si>
  <si>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</si>
  <si>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</si>
  <si>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</si>
  <si>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</si>
  <si>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</si>
  <si>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</si>
  <si>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</si>
  <si>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</si>
  <si>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</si>
  <si>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</si>
  <si>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</si>
  <si>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</si>
  <si>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</si>
  <si>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17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</si>
  <si>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</si>
  <si>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19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</si>
  <si>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</si>
  <si>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</si>
  <si>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</si>
  <si>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</si>
  <si>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</si>
  <si>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</si>
  <si>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</si>
  <si>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</si>
  <si>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</si>
  <si>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</si>
  <si>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</si>
  <si>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</si>
  <si>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</si>
  <si>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</si>
  <si>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</si>
  <si>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</si>
  <si>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12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</si>
  <si>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</si>
  <si>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</si>
  <si>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14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</si>
  <si>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</si>
  <si>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</si>
  <si>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</si>
  <si>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</si>
  <si>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</si>
  <si>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</si>
  <si>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</si>
  <si>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</si>
  <si>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Cl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</si>
  <si>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</si>
  <si>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Cl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</si>
  <si>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SO</t>
    </r>
    <r>
      <rPr>
        <vertAlign val="subscript"/>
        <sz val="11"/>
        <rFont val="Calibri"/>
        <family val="2"/>
        <charset val="238"/>
        <scheme val="minor"/>
      </rPr>
      <t>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</si>
  <si>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Cl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</si>
  <si>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</si>
  <si>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Cl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</si>
  <si>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Cl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</si>
  <si>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Cl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</si>
  <si>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Cl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</si>
  <si>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</si>
  <si>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</si>
  <si>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</si>
  <si>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</si>
  <si>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</si>
  <si>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</si>
  <si>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</si>
  <si>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</si>
  <si>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</si>
  <si>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</si>
  <si>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29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</si>
  <si>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</si>
  <si>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</si>
  <si>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-C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</si>
  <si>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</si>
  <si>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</si>
  <si>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S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</si>
  <si>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</si>
  <si>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</si>
  <si>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</si>
  <si>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</si>
  <si>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16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8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</si>
  <si>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</si>
  <si>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</si>
  <si>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</si>
  <si>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</si>
  <si>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21</t>
    </r>
    <r>
      <rPr>
        <sz val="11"/>
        <rFont val="Calibri"/>
        <family val="2"/>
        <charset val="238"/>
        <scheme val="minor"/>
      </rPr>
      <t>-C</t>
    </r>
    <r>
      <rPr>
        <vertAlign val="subscript"/>
        <sz val="11"/>
        <rFont val="Calibri"/>
        <family val="2"/>
        <charset val="238"/>
        <scheme val="minor"/>
      </rPr>
      <t>5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</si>
  <si>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64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</si>
  <si>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</si>
  <si>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</si>
  <si>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22</t>
    </r>
    <r>
      <rPr>
        <sz val="11"/>
        <rFont val="Calibri"/>
        <family val="2"/>
        <charset val="238"/>
        <scheme val="minor"/>
      </rPr>
      <t>-C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9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</si>
  <si>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</si>
  <si>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80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</si>
  <si>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16</t>
    </r>
    <r>
      <rPr>
        <sz val="11"/>
        <rFont val="Calibri"/>
        <family val="2"/>
        <charset val="238"/>
        <scheme val="minor"/>
      </rPr>
      <t>-C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</si>
  <si>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56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</si>
  <si>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-C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17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</si>
  <si>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</si>
  <si>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</si>
  <si>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</si>
  <si>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</si>
  <si>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</si>
  <si>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</si>
  <si>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</si>
  <si>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</si>
  <si>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</si>
  <si>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</si>
  <si>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</si>
  <si>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</si>
  <si>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</si>
  <si>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</si>
  <si>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</si>
  <si>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</si>
  <si>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</si>
  <si>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CH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</si>
  <si>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</si>
  <si>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</si>
  <si>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</si>
  <si>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</si>
  <si>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</si>
  <si>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</si>
  <si>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</si>
  <si>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</si>
  <si>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</si>
  <si>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</si>
  <si>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</si>
  <si>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</si>
  <si>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</si>
  <si>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</si>
  <si>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102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</si>
  <si>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7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</si>
  <si>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(OH)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</si>
  <si>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</si>
  <si>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(OH)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</si>
  <si>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</si>
  <si>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</si>
  <si>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</si>
  <si>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</si>
  <si>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</si>
  <si>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</si>
  <si>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</si>
  <si>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</si>
  <si>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</si>
  <si>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</si>
  <si>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</si>
  <si>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</si>
  <si>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</si>
  <si>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</si>
  <si>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</si>
  <si>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</si>
  <si>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</si>
  <si>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</si>
  <si>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11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</si>
  <si>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</si>
  <si>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</si>
  <si>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</si>
  <si>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24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</si>
  <si>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</si>
  <si>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</si>
  <si>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</si>
  <si>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</si>
  <si>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</si>
  <si>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17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</si>
  <si>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-C=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</si>
  <si>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</si>
  <si>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</si>
  <si>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</t>
    </r>
    <r>
      <rPr>
        <sz val="11"/>
        <rFont val="Calibri"/>
        <family val="2"/>
        <charset val="238"/>
      </rPr>
      <t>≡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</si>
  <si>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</si>
  <si>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</si>
  <si>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</si>
  <si>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</si>
  <si>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</t>
    </r>
  </si>
  <si>
    <r>
      <t>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</si>
  <si>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</si>
  <si>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</si>
  <si>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20</t>
    </r>
    <r>
      <rPr>
        <sz val="11"/>
        <rFont val="Calibri"/>
        <family val="2"/>
        <charset val="238"/>
        <scheme val="minor"/>
      </rPr>
      <t>-O-B-O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</si>
  <si>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</si>
  <si>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</si>
  <si>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</si>
  <si>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</si>
  <si>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</si>
  <si>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</si>
  <si>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</si>
  <si>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</si>
  <si>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</si>
  <si>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138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</si>
  <si>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21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</si>
  <si>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130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</si>
  <si>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17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</si>
  <si>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122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</si>
  <si>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</si>
  <si>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</si>
  <si>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21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</si>
  <si>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21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</si>
  <si>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17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</t>
    </r>
  </si>
  <si>
    <r>
      <t>R1: 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17</t>
    </r>
    <r>
      <rPr>
        <sz val="11"/>
        <rFont val="Calibri"/>
        <family val="2"/>
        <charset val="238"/>
        <scheme val="minor"/>
      </rPr>
      <t xml:space="preserve">
R2: C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</si>
  <si>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</si>
  <si>
    <r>
      <t>R1: (CH</t>
    </r>
    <r>
      <rPr>
        <vertAlign val="subscript"/>
        <sz val="8"/>
        <rFont val="Calibri"/>
        <family val="2"/>
        <charset val="238"/>
        <scheme val="minor"/>
      </rPr>
      <t>2</t>
    </r>
    <r>
      <rPr>
        <sz val="8"/>
        <rFont val="Calibri"/>
        <family val="2"/>
        <charset val="238"/>
        <scheme val="minor"/>
      </rPr>
      <t>)</t>
    </r>
    <r>
      <rPr>
        <vertAlign val="subscript"/>
        <sz val="8"/>
        <rFont val="Calibri"/>
        <family val="2"/>
        <charset val="238"/>
        <scheme val="minor"/>
      </rPr>
      <t>9</t>
    </r>
    <r>
      <rPr>
        <sz val="8"/>
        <rFont val="Calibri"/>
        <family val="2"/>
        <charset val="238"/>
        <scheme val="minor"/>
      </rPr>
      <t>CH</t>
    </r>
    <r>
      <rPr>
        <vertAlign val="subscript"/>
        <sz val="8"/>
        <rFont val="Calibri"/>
        <family val="2"/>
        <charset val="238"/>
        <scheme val="minor"/>
      </rPr>
      <t>3</t>
    </r>
    <r>
      <rPr>
        <sz val="8"/>
        <rFont val="Calibri"/>
        <family val="2"/>
        <charset val="238"/>
        <scheme val="minor"/>
      </rPr>
      <t xml:space="preserve">
R2: CH</t>
    </r>
    <r>
      <rPr>
        <vertAlign val="subscript"/>
        <sz val="8"/>
        <rFont val="Calibri"/>
        <family val="2"/>
        <charset val="238"/>
        <scheme val="minor"/>
      </rPr>
      <t>2</t>
    </r>
    <r>
      <rPr>
        <sz val="8"/>
        <rFont val="Calibri"/>
        <family val="2"/>
        <charset val="238"/>
        <scheme val="minor"/>
      </rPr>
      <t>CH</t>
    </r>
    <r>
      <rPr>
        <vertAlign val="subscript"/>
        <sz val="8"/>
        <rFont val="Calibri"/>
        <family val="2"/>
        <charset val="238"/>
        <scheme val="minor"/>
      </rPr>
      <t>2</t>
    </r>
    <r>
      <rPr>
        <sz val="8"/>
        <rFont val="Calibri"/>
        <family val="2"/>
        <charset val="238"/>
        <scheme val="minor"/>
      </rPr>
      <t>-N(CH</t>
    </r>
    <r>
      <rPr>
        <vertAlign val="subscript"/>
        <sz val="8"/>
        <rFont val="Calibri"/>
        <family val="2"/>
        <charset val="238"/>
        <scheme val="minor"/>
      </rPr>
      <t>3</t>
    </r>
    <r>
      <rPr>
        <sz val="8"/>
        <rFont val="Calibri"/>
        <family val="2"/>
        <charset val="238"/>
        <scheme val="minor"/>
      </rPr>
      <t>)</t>
    </r>
    <r>
      <rPr>
        <vertAlign val="subscript"/>
        <sz val="8"/>
        <rFont val="Calibri"/>
        <family val="2"/>
        <charset val="238"/>
        <scheme val="minor"/>
      </rPr>
      <t>3</t>
    </r>
  </si>
  <si>
    <r>
      <t>PO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</si>
  <si>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16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</si>
  <si>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</si>
  <si>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100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</si>
  <si>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NC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OH</t>
    </r>
    <r>
      <rPr>
        <vertAlign val="subscript"/>
        <sz val="11"/>
        <rFont val="Calibri"/>
        <family val="2"/>
        <charset val="238"/>
        <scheme val="minor"/>
      </rPr>
      <t>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</si>
  <si>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69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</si>
  <si>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85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</si>
  <si>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37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</si>
  <si>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109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</si>
  <si>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</si>
  <si>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85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</si>
  <si>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17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</si>
  <si>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47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5</t>
    </r>
  </si>
  <si>
    <r>
      <t>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13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</si>
  <si>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22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</si>
  <si>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24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</si>
  <si>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</si>
  <si>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F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</si>
  <si>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37</t>
    </r>
    <r>
      <rPr>
        <sz val="11"/>
        <rFont val="Calibri"/>
        <family val="2"/>
        <charset val="238"/>
        <scheme val="minor"/>
      </rPr>
      <t>:1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</si>
  <si>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</si>
  <si>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</si>
  <si>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</si>
  <si>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8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</si>
  <si>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8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</si>
  <si>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102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8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</si>
  <si>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114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8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</si>
  <si>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25</t>
    </r>
    <r>
      <rPr>
        <sz val="11"/>
        <rFont val="Calibri"/>
        <family val="2"/>
        <charset val="238"/>
        <scheme val="minor"/>
      </rPr>
      <t>-OH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</si>
  <si>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</si>
  <si>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</si>
  <si>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</si>
  <si>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</si>
  <si>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</si>
  <si>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</si>
  <si>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</si>
  <si>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29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</si>
  <si>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47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</si>
  <si>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</si>
  <si>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</si>
  <si>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</si>
  <si>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</si>
  <si>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</si>
  <si>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72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</si>
  <si>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</si>
  <si>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6</t>
    </r>
  </si>
  <si>
    <r>
      <t>CF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COO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</si>
  <si>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96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</si>
  <si>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9</t>
    </r>
  </si>
  <si>
    <r>
      <t>C</t>
    </r>
    <r>
      <rPr>
        <vertAlign val="subscript"/>
        <sz val="11"/>
        <rFont val="Calibri"/>
        <family val="2"/>
        <charset val="238"/>
        <scheme val="minor"/>
      </rPr>
      <t>13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27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</si>
  <si>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98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9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</si>
  <si>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30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60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</si>
  <si>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</t>
    </r>
    <r>
      <rPr>
        <sz val="11"/>
        <rFont val="Calibri"/>
        <family val="2"/>
        <charset val="238"/>
        <scheme val="minor"/>
      </rPr>
      <t>NH</t>
    </r>
    <r>
      <rPr>
        <vertAlign val="subscript"/>
        <sz val="11"/>
        <rFont val="Calibri"/>
        <family val="2"/>
        <charset val="238"/>
        <scheme val="minor"/>
      </rPr>
      <t>13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</si>
  <si>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49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</si>
  <si>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53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</si>
  <si>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57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1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</si>
  <si>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</t>
    </r>
    <r>
      <rPr>
        <sz val="11"/>
        <rFont val="Calibri"/>
        <family val="2"/>
        <charset val="238"/>
        <scheme val="minor"/>
      </rPr>
      <t>N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</si>
  <si>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73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</si>
  <si>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N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</si>
  <si>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80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</si>
  <si>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7</t>
    </r>
    <r>
      <rPr>
        <sz val="11"/>
        <rFont val="Calibri"/>
        <family val="2"/>
        <charset val="238"/>
        <scheme val="minor"/>
      </rPr>
      <t>N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</si>
  <si>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77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</si>
  <si>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7</t>
    </r>
    <r>
      <rPr>
        <sz val="11"/>
        <rFont val="Calibri"/>
        <family val="2"/>
        <charset val="238"/>
        <scheme val="minor"/>
      </rPr>
      <t>NH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</si>
  <si>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75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</si>
  <si>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52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109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6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3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</si>
  <si>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54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114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7</t>
    </r>
    <r>
      <rPr>
        <sz val="11"/>
        <rFont val="Calibri"/>
        <family val="2"/>
        <charset val="238"/>
        <scheme val="minor"/>
      </rPr>
      <t>O</t>
    </r>
    <r>
      <rPr>
        <vertAlign val="subscript"/>
        <sz val="11"/>
        <rFont val="Calibri"/>
        <family val="2"/>
        <charset val="238"/>
        <scheme val="minor"/>
      </rPr>
      <t>3</t>
    </r>
  </si>
  <si>
    <t>fQS_4_06</t>
  </si>
  <si>
    <t>fQS_4_06b</t>
  </si>
  <si>
    <r>
      <t>log</t>
    </r>
    <r>
      <rPr>
        <b/>
        <sz val="8"/>
        <color theme="1" tint="0.249977111117893"/>
        <rFont val="Calibri"/>
        <family val="2"/>
        <charset val="238"/>
        <scheme val="minor"/>
      </rPr>
      <t>10</t>
    </r>
    <r>
      <rPr>
        <b/>
        <sz val="11"/>
        <color theme="1" tint="0.249977111117893"/>
        <rFont val="Calibri"/>
        <family val="2"/>
        <charset val="238"/>
        <scheme val="minor"/>
      </rPr>
      <t>(CMC)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</si>
  <si>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CH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</si>
  <si>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CH</t>
    </r>
    <r>
      <rPr>
        <vertAlign val="subscript"/>
        <sz val="11"/>
        <rFont val="Calibri"/>
        <family val="2"/>
        <charset val="238"/>
        <scheme val="minor"/>
      </rPr>
      <t>2</t>
    </r>
  </si>
  <si>
    <r>
      <t>(OCH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)x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</si>
  <si>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O-(CH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>-CH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</si>
  <si>
    <r>
      <t>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O-(CH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8</t>
    </r>
    <r>
      <rPr>
        <sz val="11"/>
        <rFont val="Calibri"/>
        <family val="2"/>
        <charset val="238"/>
        <scheme val="minor"/>
      </rPr>
      <t>-CH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</t>
    </r>
  </si>
  <si>
    <r>
      <t>N-CO-C</t>
    </r>
    <r>
      <rPr>
        <vertAlign val="subscript"/>
        <sz val="11"/>
        <rFont val="Calibri"/>
        <family val="2"/>
        <charset val="238"/>
        <scheme val="minor"/>
      </rPr>
      <t>11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23</t>
    </r>
  </si>
  <si>
    <r>
      <t>N-CO-C</t>
    </r>
    <r>
      <rPr>
        <vertAlign val="subscript"/>
        <sz val="11"/>
        <rFont val="Calibri"/>
        <family val="2"/>
        <charset val="238"/>
        <scheme val="minor"/>
      </rPr>
      <t>13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27</t>
    </r>
  </si>
  <si>
    <r>
      <t>N-CO-C</t>
    </r>
    <r>
      <rPr>
        <vertAlign val="subscript"/>
        <sz val="11"/>
        <rFont val="Calibri"/>
        <family val="2"/>
        <charset val="238"/>
        <scheme val="minor"/>
      </rPr>
      <t>15</t>
    </r>
    <r>
      <rPr>
        <sz val="11"/>
        <rFont val="Calibri"/>
        <family val="2"/>
        <charset val="238"/>
        <scheme val="minor"/>
      </rPr>
      <t>H</t>
    </r>
    <r>
      <rPr>
        <vertAlign val="subscript"/>
        <sz val="11"/>
        <rFont val="Calibri"/>
        <family val="2"/>
        <charset val="238"/>
        <scheme val="minor"/>
      </rPr>
      <t>31</t>
    </r>
  </si>
  <si>
    <r>
      <t>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O(CH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>)</t>
    </r>
    <r>
      <rPr>
        <vertAlign val="subscript"/>
        <sz val="11"/>
        <rFont val="Calibri"/>
        <family val="2"/>
        <charset val="238"/>
        <scheme val="minor"/>
      </rPr>
      <t>2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</si>
  <si>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42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</si>
  <si>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64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134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</si>
  <si>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98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</si>
  <si>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86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</si>
  <si>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82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</si>
  <si>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10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</si>
  <si>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56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120</t>
    </r>
    <r>
      <rPr>
        <sz val="11"/>
        <rFont val="Calibri"/>
        <family val="2"/>
        <charset val="238"/>
        <scheme val="minor"/>
      </rPr>
      <t xml:space="preserve"> P</t>
    </r>
    <r>
      <rPr>
        <vertAlign val="subscript"/>
        <sz val="11"/>
        <rFont val="Calibri"/>
        <family val="2"/>
        <charset val="238"/>
        <scheme val="minor"/>
      </rPr>
      <t xml:space="preserve">4 </t>
    </r>
    <r>
      <rPr>
        <sz val="11"/>
        <rFont val="Calibri"/>
        <family val="2"/>
        <charset val="238"/>
        <scheme val="minor"/>
      </rPr>
      <t>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20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</si>
  <si>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48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104</t>
    </r>
    <r>
      <rPr>
        <sz val="11"/>
        <rFont val="Calibri"/>
        <family val="2"/>
        <charset val="238"/>
        <scheme val="minor"/>
      </rPr>
      <t xml:space="preserve"> P</t>
    </r>
    <r>
      <rPr>
        <vertAlign val="subscript"/>
        <sz val="11"/>
        <rFont val="Calibri"/>
        <family val="2"/>
        <charset val="238"/>
        <scheme val="minor"/>
      </rPr>
      <t>4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20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</si>
  <si>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38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78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</si>
  <si>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31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64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</si>
  <si>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35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72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</si>
  <si>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22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46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</si>
  <si>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26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54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</si>
  <si>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34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70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</si>
  <si>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0"/>
        <rFont val="Calibri"/>
        <family val="2"/>
        <charset val="238"/>
        <scheme val="minor"/>
      </rPr>
      <t>38</t>
    </r>
    <r>
      <rPr>
        <sz val="10"/>
        <rFont val="Calibri"/>
        <family val="2"/>
        <charset val="238"/>
        <scheme val="minor"/>
      </rPr>
      <t xml:space="preserve"> H</t>
    </r>
    <r>
      <rPr>
        <vertAlign val="subscript"/>
        <sz val="10"/>
        <rFont val="Calibri"/>
        <family val="2"/>
        <charset val="238"/>
        <scheme val="minor"/>
      </rPr>
      <t>78</t>
    </r>
    <r>
      <rPr>
        <sz val="10"/>
        <rFont val="Calibri"/>
        <family val="2"/>
        <charset val="238"/>
        <scheme val="minor"/>
      </rPr>
      <t xml:space="preserve"> N</t>
    </r>
    <r>
      <rPr>
        <vertAlign val="subscript"/>
        <sz val="10"/>
        <rFont val="Calibri"/>
        <family val="2"/>
        <charset val="238"/>
        <scheme val="minor"/>
      </rPr>
      <t>2</t>
    </r>
    <r>
      <rPr>
        <sz val="10"/>
        <rFont val="Calibri"/>
        <family val="2"/>
        <charset val="238"/>
        <scheme val="minor"/>
      </rPr>
      <t xml:space="preserve"> O</t>
    </r>
    <r>
      <rPr>
        <vertAlign val="subscript"/>
        <sz val="10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</si>
  <si>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44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90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</si>
  <si>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36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74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</si>
  <si>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24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50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  <r>
      <rPr>
        <sz val="11"/>
        <rFont val="Calibri"/>
        <family val="2"/>
        <charset val="238"/>
        <scheme val="minor"/>
      </rPr>
      <t xml:space="preserve"> O</t>
    </r>
    <r>
      <rPr>
        <vertAlign val="subscript"/>
        <sz val="11"/>
        <rFont val="Calibri"/>
        <family val="2"/>
        <charset val="238"/>
        <scheme val="minor"/>
      </rPr>
      <t>4</t>
    </r>
  </si>
  <si>
    <r>
      <t>C</t>
    </r>
    <r>
      <rPr>
        <vertAlign val="subscript"/>
        <sz val="11"/>
        <rFont val="Calibri"/>
        <family val="2"/>
        <charset val="238"/>
        <scheme val="minor"/>
      </rPr>
      <t>40</t>
    </r>
    <r>
      <rPr>
        <sz val="11"/>
        <rFont val="Calibri"/>
        <family val="2"/>
        <charset val="238"/>
        <scheme val="minor"/>
      </rPr>
      <t xml:space="preserve"> H</t>
    </r>
    <r>
      <rPr>
        <vertAlign val="subscript"/>
        <sz val="11"/>
        <rFont val="Calibri"/>
        <family val="2"/>
        <charset val="238"/>
        <scheme val="minor"/>
      </rPr>
      <t>86</t>
    </r>
    <r>
      <rPr>
        <sz val="11"/>
        <rFont val="Calibri"/>
        <family val="2"/>
        <charset val="238"/>
        <scheme val="minor"/>
      </rPr>
      <t xml:space="preserve"> N</t>
    </r>
    <r>
      <rPr>
        <vertAlign val="subscript"/>
        <sz val="11"/>
        <rFont val="Calibri"/>
        <family val="2"/>
        <charset val="238"/>
        <scheme val="minor"/>
      </rPr>
      <t>2</t>
    </r>
  </si>
  <si>
    <t>27, 36</t>
  </si>
  <si>
    <t>If you use that database please cite: Rzycki, M.; Kaczorowska, A.; Kraszewski, S.; Drabik, D. A Systematic Approach: Molecular Dynamics Study and Parametrisation of Gemini Type Cationic Surfactants. Int. J. Mol. Sci. 2021, 22, 10939. https://doi.org/10.3390/ijms222010939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</si>
</sst>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vertAlign val="subscript"/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7030A0"/>
      <name val="Calibri"/>
      <family val="2"/>
      <charset val="238"/>
      <scheme val="minor"/>
    </font>
    <font>
      <sz val="11"/>
      <name val="Calibri"/>
      <family val="2"/>
      <charset val="238"/>
    </font>
    <font>
      <vertAlign val="subscript"/>
      <sz val="8"/>
      <name val="Calibri"/>
      <family val="2"/>
      <charset val="238"/>
      <scheme val="minor"/>
    </font>
    <font>
      <b/>
      <sz val="11"/>
      <color theme="1" tint="0.249977111117893"/>
      <name val="Calibri"/>
      <family val="2"/>
      <charset val="238"/>
      <scheme val="minor"/>
    </font>
    <font>
      <b/>
      <sz val="8"/>
      <color theme="1" tint="0.249977111117893"/>
      <name val="Calibri"/>
      <family val="2"/>
      <charset val="238"/>
      <scheme val="minor"/>
    </font>
    <font>
      <b/>
      <sz val="11"/>
      <color theme="1" tint="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charset val="238"/>
      <scheme val="minor"/>
    </font>
    <font>
      <vertAlign val="subscript"/>
      <sz val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6795556505021"/>
        <bgColor theme="4" tint="0.79998168889431442"/>
      </patternFill>
    </fill>
    <fill>
      <patternFill patternType="solid">
        <fgColor theme="0" tint="-0.24994659260841701"/>
        <bgColor theme="5" tint="0.3997924741355632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4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 applyProtection="1">
      <alignment vertical="center"/>
      <protection locked="0"/>
    </xf>
    <xf numFmtId="0" fontId="1" fillId="3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5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 applyProtection="1">
      <alignment vertical="center"/>
      <protection locked="0"/>
    </xf>
    <xf numFmtId="0" fontId="1" fillId="5" borderId="3" xfId="0" applyFont="1" applyFill="1" applyBorder="1" applyAlignment="1">
      <alignment horizontal="center" vertical="center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Alignment="1" applyProtection="1">
      <alignment vertical="center"/>
      <protection locked="0"/>
    </xf>
    <xf numFmtId="0" fontId="1" fillId="5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4" borderId="14" xfId="0" applyFont="1" applyFill="1" applyBorder="1" applyAlignment="1" applyProtection="1">
      <alignment vertical="center"/>
      <protection locked="0"/>
    </xf>
    <xf numFmtId="0" fontId="1" fillId="4" borderId="14" xfId="0" applyFont="1" applyFill="1" applyBorder="1" applyAlignment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  <protection locked="0"/>
    </xf>
    <xf numFmtId="0" fontId="1" fillId="4" borderId="14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7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 applyProtection="1">
      <alignment vertical="center"/>
      <protection locked="0"/>
    </xf>
    <xf numFmtId="0" fontId="1" fillId="6" borderId="3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6" borderId="1" xfId="0" applyFont="1" applyFill="1" applyBorder="1" applyAlignment="1" applyProtection="1">
      <alignment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/>
      <protection locked="0"/>
    </xf>
    <xf numFmtId="0" fontId="1" fillId="5" borderId="1" xfId="0" applyFont="1" applyFill="1" applyBorder="1" applyProtection="1">
      <protection locked="0"/>
    </xf>
    <xf numFmtId="0" fontId="2" fillId="7" borderId="1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>
      <alignment horizontal="center" vertical="center"/>
    </xf>
    <xf numFmtId="0" fontId="1" fillId="4" borderId="5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1" fillId="4" borderId="14" xfId="0" applyFont="1" applyFill="1" applyBorder="1" applyProtection="1">
      <protection locked="0"/>
    </xf>
    <xf numFmtId="0" fontId="1" fillId="4" borderId="3" xfId="0" applyFont="1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2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2" xfId="0" applyFont="1" applyFill="1" applyBorder="1" applyAlignment="1" applyProtection="1">
      <alignment vertical="center"/>
      <protection locked="0"/>
    </xf>
    <xf numFmtId="0" fontId="1" fillId="2" borderId="2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9" fillId="8" borderId="5" xfId="0" applyFont="1" applyFill="1" applyBorder="1" applyAlignment="1" applyProtection="1">
      <alignment horizontal="center" vertical="center" wrapText="1"/>
      <protection locked="0"/>
    </xf>
    <xf numFmtId="0" fontId="9" fillId="8" borderId="5" xfId="0" applyFont="1" applyFill="1" applyBorder="1" applyAlignment="1">
      <alignment horizontal="center" vertical="center" wrapText="1"/>
    </xf>
    <xf numFmtId="164" fontId="9" fillId="8" borderId="5" xfId="0" applyNumberFormat="1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164" fontId="1" fillId="6" borderId="3" xfId="0" applyNumberFormat="1" applyFont="1" applyFill="1" applyBorder="1" applyAlignment="1">
      <alignment horizontal="center" vertical="center"/>
    </xf>
    <xf numFmtId="164" fontId="1" fillId="4" borderId="14" xfId="0" applyNumberFormat="1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164" fontId="1" fillId="4" borderId="3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7" borderId="1" xfId="0" applyFont="1" applyFill="1" applyBorder="1" applyAlignment="1" applyProtection="1">
      <alignment horizontal="center" vertical="center"/>
      <protection locked="0"/>
    </xf>
    <xf numFmtId="164" fontId="1" fillId="7" borderId="1" xfId="0" applyNumberFormat="1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164" fontId="1" fillId="7" borderId="3" xfId="0" applyNumberFormat="1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64" fontId="1" fillId="5" borderId="14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7" borderId="3" xfId="0" applyFont="1" applyFill="1" applyBorder="1" applyAlignment="1" applyProtection="1">
      <alignment horizontal="center" vertical="center"/>
      <protection locked="0"/>
    </xf>
    <xf numFmtId="164" fontId="1" fillId="5" borderId="3" xfId="0" applyNumberFormat="1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3" borderId="12" xfId="0" applyFont="1" applyFill="1" applyBorder="1" applyAlignment="1">
      <alignment horizontal="center" vertical="center"/>
    </xf>
    <xf numFmtId="0" fontId="1" fillId="3" borderId="5" xfId="0" applyFont="1" applyFill="1" applyBorder="1" applyAlignment="1" applyProtection="1">
      <alignment horizontal="center" vertical="center"/>
      <protection locked="0"/>
    </xf>
    <xf numFmtId="164" fontId="1" fillId="4" borderId="5" xfId="0" applyNumberFormat="1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>
      <alignment horizontal="center" vertical="center"/>
    </xf>
    <xf numFmtId="164" fontId="1" fillId="5" borderId="5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5" borderId="2" xfId="0" applyFont="1" applyFill="1" applyBorder="1" applyAlignment="1">
      <alignment horizontal="center" vertical="center"/>
    </xf>
    <xf numFmtId="164" fontId="1" fillId="5" borderId="2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0" fontId="11" fillId="8" borderId="4" xfId="0" applyFont="1" applyFill="1" applyBorder="1" applyAlignment="1" applyProtection="1">
      <alignment horizontal="center" vertical="center" wrapText="1"/>
      <protection locked="0"/>
    </xf>
    <xf numFmtId="0" fontId="14" fillId="3" borderId="4" xfId="0" applyFont="1" applyFill="1" applyBorder="1" applyAlignment="1" applyProtection="1">
      <alignment vertical="center"/>
      <protection locked="0"/>
    </xf>
    <xf numFmtId="0" fontId="12" fillId="2" borderId="4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protection locked="0"/>
    </xf>
    <xf numFmtId="0" fontId="12" fillId="4" borderId="4" xfId="0" applyFont="1" applyFill="1" applyBorder="1" applyAlignment="1" applyProtection="1">
      <alignment horizontal="center" vertical="center"/>
      <protection locked="0"/>
    </xf>
    <xf numFmtId="0" fontId="17" fillId="6" borderId="1" xfId="0" applyFont="1" applyFill="1" applyBorder="1" applyAlignment="1">
      <alignment horizontal="center" vertical="center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" fillId="2" borderId="19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1" fillId="7" borderId="18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2" fillId="5" borderId="9" xfId="0" applyFont="1" applyFill="1" applyBorder="1" applyAlignment="1" applyProtection="1">
      <alignment horizontal="center" vertical="center"/>
      <protection locked="0"/>
    </xf>
    <xf numFmtId="0" fontId="12" fillId="5" borderId="11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4" borderId="14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4" borderId="3" xfId="0" applyFont="1" applyFill="1" applyBorder="1" applyAlignment="1" applyProtection="1">
      <alignment horizontal="center" vertical="center"/>
      <protection locked="0"/>
    </xf>
    <xf numFmtId="0" fontId="12" fillId="4" borderId="13" xfId="0" applyFont="1" applyFill="1" applyBorder="1" applyAlignment="1" applyProtection="1">
      <alignment horizontal="center" vertical="center"/>
      <protection locked="0"/>
    </xf>
    <xf numFmtId="0" fontId="12" fillId="4" borderId="9" xfId="0" applyFont="1" applyFill="1" applyBorder="1" applyAlignment="1" applyProtection="1">
      <alignment horizontal="center" vertical="center"/>
      <protection locked="0"/>
    </xf>
    <xf numFmtId="0" fontId="12" fillId="4" borderId="11" xfId="0" applyFont="1" applyFill="1" applyBorder="1" applyAlignment="1" applyProtection="1">
      <alignment horizontal="center" vertical="center"/>
      <protection locked="0"/>
    </xf>
    <xf numFmtId="0" fontId="1" fillId="5" borderId="3" xfId="0" applyFont="1" applyFill="1" applyBorder="1" applyAlignment="1" applyProtection="1">
      <alignment horizontal="center" vertical="center"/>
      <protection locked="0"/>
    </xf>
    <xf numFmtId="0" fontId="1" fillId="6" borderId="3" xfId="0" applyFont="1" applyFill="1" applyBorder="1" applyAlignment="1" applyProtection="1">
      <alignment horizontal="center" vertical="center"/>
      <protection locked="0"/>
    </xf>
    <xf numFmtId="0" fontId="12" fillId="4" borderId="13" xfId="0" applyFont="1" applyFill="1" applyBorder="1" applyAlignment="1" applyProtection="1">
      <alignment horizontal="center" vertical="center" wrapText="1"/>
      <protection locked="0"/>
    </xf>
    <xf numFmtId="0" fontId="12" fillId="4" borderId="9" xfId="0" applyFont="1" applyFill="1" applyBorder="1" applyAlignment="1" applyProtection="1">
      <alignment horizontal="center" vertical="center" wrapText="1"/>
      <protection locked="0"/>
    </xf>
    <xf numFmtId="0" fontId="12" fillId="4" borderId="11" xfId="0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 applyProtection="1">
      <alignment horizontal="center"/>
      <protection locked="0"/>
    </xf>
    <xf numFmtId="0" fontId="1" fillId="5" borderId="1" xfId="0" applyFont="1" applyFill="1" applyBorder="1" applyAlignment="1" applyProtection="1">
      <alignment horizontal="center"/>
      <protection locked="0"/>
    </xf>
    <xf numFmtId="0" fontId="1" fillId="4" borderId="14" xfId="0" applyFont="1" applyFill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9" xfId="0" applyFont="1" applyFill="1" applyBorder="1" applyAlignment="1" applyProtection="1">
      <alignment horizontal="center" vertical="center"/>
      <protection locked="0"/>
    </xf>
    <xf numFmtId="0" fontId="13" fillId="5" borderId="11" xfId="0" applyFont="1" applyFill="1" applyBorder="1" applyAlignment="1" applyProtection="1">
      <alignment horizontal="center" vertical="center"/>
      <protection locked="0"/>
    </xf>
    <xf numFmtId="0" fontId="12" fillId="5" borderId="7" xfId="0" applyFont="1" applyFill="1" applyBorder="1" applyAlignment="1" applyProtection="1">
      <alignment horizontal="center" vertical="center"/>
      <protection locked="0"/>
    </xf>
    <xf numFmtId="0" fontId="12" fillId="3" borderId="13" xfId="0" applyFont="1" applyFill="1" applyBorder="1" applyAlignment="1" applyProtection="1">
      <alignment horizontal="center" vertical="center"/>
      <protection locked="0"/>
    </xf>
    <xf numFmtId="0" fontId="12" fillId="3" borderId="9" xfId="0" applyFont="1" applyFill="1" applyBorder="1" applyAlignment="1" applyProtection="1">
      <alignment horizontal="center" vertical="center"/>
      <protection locked="0"/>
    </xf>
    <xf numFmtId="0" fontId="12" fillId="3" borderId="11" xfId="0" applyFont="1" applyFill="1" applyBorder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9" xfId="0" applyFont="1" applyFill="1" applyBorder="1" applyAlignment="1" applyProtection="1">
      <alignment horizontal="center" vertic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" fillId="3" borderId="14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2" fillId="2" borderId="13" xfId="0" applyFont="1" applyFill="1" applyBorder="1" applyAlignment="1" applyProtection="1">
      <alignment horizontal="center" vertical="center"/>
      <protection locked="0"/>
    </xf>
    <xf numFmtId="0" fontId="12" fillId="2" borderId="9" xfId="0" applyFont="1" applyFill="1" applyBorder="1" applyAlignment="1" applyProtection="1">
      <alignment horizontal="center" vertical="center"/>
      <protection locked="0"/>
    </xf>
    <xf numFmtId="0" fontId="12" fillId="2" borderId="11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Alignment="1" applyProtection="1">
      <alignment horizontal="center"/>
      <protection locked="0"/>
    </xf>
    <xf numFmtId="0" fontId="1" fillId="5" borderId="3" xfId="0" applyFont="1" applyFill="1" applyBorder="1" applyAlignment="1" applyProtection="1">
      <alignment horizontal="center"/>
      <protection locked="0"/>
    </xf>
    <xf numFmtId="0" fontId="1" fillId="4" borderId="3" xfId="0" applyFont="1" applyFill="1" applyBorder="1" applyAlignment="1" applyProtection="1">
      <alignment horizontal="center"/>
      <protection locked="0"/>
    </xf>
    <xf numFmtId="0" fontId="1" fillId="2" borderId="14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13" fillId="3" borderId="13" xfId="0" applyFont="1" applyFill="1" applyBorder="1" applyAlignment="1" applyProtection="1">
      <alignment horizontal="center" vertical="center"/>
      <protection locked="0"/>
    </xf>
    <xf numFmtId="0" fontId="13" fillId="3" borderId="9" xfId="0" applyFont="1" applyFill="1" applyBorder="1" applyAlignment="1" applyProtection="1">
      <alignment horizontal="center" vertical="center"/>
      <protection locked="0"/>
    </xf>
    <xf numFmtId="0" fontId="13" fillId="3" borderId="11" xfId="0" applyFont="1" applyFill="1" applyBorder="1" applyAlignment="1" applyProtection="1">
      <alignment horizontal="center" vertical="center"/>
      <protection locked="0"/>
    </xf>
    <xf numFmtId="0" fontId="19" fillId="9" borderId="20" xfId="0" applyFont="1" applyFill="1" applyBorder="1" applyAlignment="1" applyProtection="1">
      <alignment horizontal="center" wrapText="1"/>
      <protection locked="0"/>
    </xf>
    <xf numFmtId="0" fontId="20" fillId="9" borderId="20" xfId="0" applyFont="1" applyFill="1" applyBorder="1" applyAlignment="1" applyProtection="1">
      <alignment horizontal="center" wrapText="1"/>
      <protection locked="0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1</xdr:col>
      <xdr:colOff>2420938</xdr:colOff>
      <xdr:row>64</xdr:row>
      <xdr:rowOff>1482589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C85EC0-2B46-453F-BB69-88FF6BDA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5335250"/>
          <a:ext cx="2420938" cy="1482589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</xdr:row>
      <xdr:rowOff>0</xdr:rowOff>
    </xdr:from>
    <xdr:to>
      <xdr:col>2</xdr:col>
      <xdr:colOff>3812</xdr:colOff>
      <xdr:row>15</xdr:row>
      <xdr:rowOff>23812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C1E7CA3-A43B-4A4E-8417-FD0BF676A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180" y="653143"/>
          <a:ext cx="2847703" cy="3030990"/>
        </a:xfrm>
        <a:prstGeom prst="rect">
          <a:avLst/>
        </a:prstGeom>
      </xdr:spPr>
    </xdr:pic>
    <xdr:clientData/>
  </xdr:twoCellAnchor>
  <xdr:twoCellAnchor editAs="oneCell">
    <xdr:from>
      <xdr:col>0</xdr:col>
      <xdr:colOff>746124</xdr:colOff>
      <xdr:row>48</xdr:row>
      <xdr:rowOff>206374</xdr:rowOff>
    </xdr:from>
    <xdr:to>
      <xdr:col>1</xdr:col>
      <xdr:colOff>2024062</xdr:colOff>
      <xdr:row>55</xdr:row>
      <xdr:rowOff>257212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6C53488-5735-4CFE-B31F-1F8429A14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4" y="10382249"/>
          <a:ext cx="2024063" cy="2162213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56</xdr:row>
      <xdr:rowOff>0</xdr:rowOff>
    </xdr:from>
    <xdr:to>
      <xdr:col>1</xdr:col>
      <xdr:colOff>2055813</xdr:colOff>
      <xdr:row>63</xdr:row>
      <xdr:rowOff>222729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C778D4-EFFA-4189-A0C5-9C51BB1F8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12604750"/>
          <a:ext cx="2055812" cy="26119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2024063</xdr:colOff>
      <xdr:row>73</xdr:row>
      <xdr:rowOff>257609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19D263C-A87D-4CD5-9577-EEDC8D1E8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6875125"/>
          <a:ext cx="2024063" cy="286110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2</xdr:col>
      <xdr:colOff>9640</xdr:colOff>
      <xdr:row>78</xdr:row>
      <xdr:rowOff>39687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4216DC2-88AE-4C35-9A8A-90A3870F6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9804063"/>
          <a:ext cx="2994140" cy="12461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1</xdr:rowOff>
    </xdr:from>
    <xdr:to>
      <xdr:col>1</xdr:col>
      <xdr:colOff>2037837</xdr:colOff>
      <xdr:row>79</xdr:row>
      <xdr:rowOff>1730375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84C9C0D-BB46-42A4-8427-2B3584BB4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21312189"/>
          <a:ext cx="2037837" cy="17303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1</xdr:rowOff>
    </xdr:from>
    <xdr:to>
      <xdr:col>1</xdr:col>
      <xdr:colOff>2595563</xdr:colOff>
      <xdr:row>82</xdr:row>
      <xdr:rowOff>7813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1C42055-7E4B-4CE2-8830-62715FDF7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23058439"/>
          <a:ext cx="2595563" cy="1396874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82</xdr:row>
      <xdr:rowOff>1</xdr:rowOff>
    </xdr:from>
    <xdr:to>
      <xdr:col>1</xdr:col>
      <xdr:colOff>2530587</xdr:colOff>
      <xdr:row>88</xdr:row>
      <xdr:rowOff>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BA1B0C9-8BA7-415B-891A-4C5D4C0FE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24455439"/>
          <a:ext cx="2530586" cy="16113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88</xdr:row>
      <xdr:rowOff>1</xdr:rowOff>
    </xdr:from>
    <xdr:to>
      <xdr:col>1</xdr:col>
      <xdr:colOff>1904999</xdr:colOff>
      <xdr:row>88</xdr:row>
      <xdr:rowOff>1590628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C6ADEA2-2C20-4045-A935-7A855FE8A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26074689"/>
          <a:ext cx="1904999" cy="15906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89</xdr:row>
      <xdr:rowOff>0</xdr:rowOff>
    </xdr:from>
    <xdr:to>
      <xdr:col>1</xdr:col>
      <xdr:colOff>1736726</xdr:colOff>
      <xdr:row>89</xdr:row>
      <xdr:rowOff>1984375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3C8CA93-C9C2-423A-B1EB-99EC2E08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27693938"/>
          <a:ext cx="1736725" cy="198437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90</xdr:row>
      <xdr:rowOff>0</xdr:rowOff>
    </xdr:from>
    <xdr:to>
      <xdr:col>2</xdr:col>
      <xdr:colOff>3970</xdr:colOff>
      <xdr:row>91</xdr:row>
      <xdr:rowOff>621325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6DFF3-F5C3-49A7-A01A-C578CFF89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29718000"/>
          <a:ext cx="2897188" cy="125632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92</xdr:row>
      <xdr:rowOff>0</xdr:rowOff>
    </xdr:from>
    <xdr:to>
      <xdr:col>2</xdr:col>
      <xdr:colOff>3968</xdr:colOff>
      <xdr:row>93</xdr:row>
      <xdr:rowOff>445723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7428E899-E3EB-4C5B-BBAB-747D1FF53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30988000"/>
          <a:ext cx="2897187" cy="9616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94</xdr:row>
      <xdr:rowOff>0</xdr:rowOff>
    </xdr:from>
    <xdr:to>
      <xdr:col>2</xdr:col>
      <xdr:colOff>3651</xdr:colOff>
      <xdr:row>97</xdr:row>
      <xdr:rowOff>182563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6F6A1A0C-1CA2-4156-A0B3-16DBEA0C1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32019875"/>
          <a:ext cx="2988151" cy="10874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98</xdr:row>
      <xdr:rowOff>1</xdr:rowOff>
    </xdr:from>
    <xdr:to>
      <xdr:col>1</xdr:col>
      <xdr:colOff>2436813</xdr:colOff>
      <xdr:row>98</xdr:row>
      <xdr:rowOff>1678767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F06C6B-C866-4325-B943-D56B473D3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33226376"/>
          <a:ext cx="2436813" cy="16787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2325688</xdr:colOff>
      <xdr:row>100</xdr:row>
      <xdr:rowOff>1179912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86BD558E-C4F8-4D06-B85E-A1054E61E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34956750"/>
          <a:ext cx="2325688" cy="23784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2309813</xdr:colOff>
      <xdr:row>109</xdr:row>
      <xdr:rowOff>227305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E19022E-3809-49F1-9BBD-901AF7F27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37353875"/>
          <a:ext cx="2309813" cy="25133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2</xdr:col>
      <xdr:colOff>5556</xdr:colOff>
      <xdr:row>123</xdr:row>
      <xdr:rowOff>106709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84B2A171-5E2E-4EF8-B67C-98719DF20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39925625"/>
          <a:ext cx="2936875" cy="27895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125</xdr:row>
      <xdr:rowOff>1</xdr:rowOff>
    </xdr:from>
    <xdr:to>
      <xdr:col>2</xdr:col>
      <xdr:colOff>2381</xdr:colOff>
      <xdr:row>127</xdr:row>
      <xdr:rowOff>612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5387C85-DB81-4637-AB01-201FA192A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43021251"/>
          <a:ext cx="2905125" cy="95311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2</xdr:col>
      <xdr:colOff>5556</xdr:colOff>
      <xdr:row>128</xdr:row>
      <xdr:rowOff>22794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7A9991D2-A474-4F0B-A065-5A04C40E6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43973750"/>
          <a:ext cx="2936875" cy="12134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0</xdr:rowOff>
    </xdr:from>
    <xdr:to>
      <xdr:col>2</xdr:col>
      <xdr:colOff>5556</xdr:colOff>
      <xdr:row>128</xdr:row>
      <xdr:rowOff>1530109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A5D5C50A-423C-4E67-9694-269B62CD1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45164375"/>
          <a:ext cx="2936875" cy="153010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129</xdr:row>
      <xdr:rowOff>0</xdr:rowOff>
    </xdr:from>
    <xdr:to>
      <xdr:col>2</xdr:col>
      <xdr:colOff>9723</xdr:colOff>
      <xdr:row>134</xdr:row>
      <xdr:rowOff>190500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5A096344-208C-441F-ACB7-3D62B3B28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6" y="47815500"/>
          <a:ext cx="2855316" cy="13215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</xdr:col>
      <xdr:colOff>3031</xdr:colOff>
      <xdr:row>156</xdr:row>
      <xdr:rowOff>323050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75362FA5-D467-43E4-9470-F806FC95E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52768500"/>
          <a:ext cx="2881313" cy="23074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157</xdr:row>
      <xdr:rowOff>0</xdr:rowOff>
    </xdr:from>
    <xdr:to>
      <xdr:col>2</xdr:col>
      <xdr:colOff>2381</xdr:colOff>
      <xdr:row>159</xdr:row>
      <xdr:rowOff>20141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2AC369C6-504C-42BF-B564-D6F3E0D4C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55149750"/>
          <a:ext cx="2905125" cy="125839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159</xdr:row>
      <xdr:rowOff>0</xdr:rowOff>
    </xdr:from>
    <xdr:to>
      <xdr:col>2</xdr:col>
      <xdr:colOff>3032</xdr:colOff>
      <xdr:row>162</xdr:row>
      <xdr:rowOff>24147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6BCB2124-7E9D-4CEA-A49A-5B8AA9CD8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56388000"/>
          <a:ext cx="2928938" cy="102427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162</xdr:row>
      <xdr:rowOff>0</xdr:rowOff>
    </xdr:from>
    <xdr:to>
      <xdr:col>1</xdr:col>
      <xdr:colOff>2436813</xdr:colOff>
      <xdr:row>167</xdr:row>
      <xdr:rowOff>267893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2F5AF6D6-A258-4FC6-ABEE-E7E5BB5BC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57388125"/>
          <a:ext cx="2436812" cy="1696643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168</xdr:row>
      <xdr:rowOff>0</xdr:rowOff>
    </xdr:from>
    <xdr:to>
      <xdr:col>2</xdr:col>
      <xdr:colOff>2382</xdr:colOff>
      <xdr:row>171</xdr:row>
      <xdr:rowOff>5761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2F66068C-8529-4A06-97B8-E5DAD4F7B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59102625"/>
          <a:ext cx="2952750" cy="9820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2698750</xdr:colOff>
      <xdr:row>171</xdr:row>
      <xdr:rowOff>1771982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8D3319A-0B5A-481F-B6CF-316D2C6BE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60078938"/>
          <a:ext cx="2698750" cy="177198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172</xdr:row>
      <xdr:rowOff>0</xdr:rowOff>
    </xdr:from>
    <xdr:to>
      <xdr:col>2</xdr:col>
      <xdr:colOff>4618</xdr:colOff>
      <xdr:row>175</xdr:row>
      <xdr:rowOff>9727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B60E9C6D-F6DD-430E-B6CA-BDCCF0B9D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61888688"/>
          <a:ext cx="2921000" cy="100985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175</xdr:row>
      <xdr:rowOff>0</xdr:rowOff>
    </xdr:from>
    <xdr:to>
      <xdr:col>2</xdr:col>
      <xdr:colOff>5556</xdr:colOff>
      <xdr:row>175</xdr:row>
      <xdr:rowOff>1575313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329B4807-2A7A-4F15-8919-58FAA9056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62888813"/>
          <a:ext cx="2936874" cy="157531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176</xdr:row>
      <xdr:rowOff>0</xdr:rowOff>
    </xdr:from>
    <xdr:to>
      <xdr:col>2</xdr:col>
      <xdr:colOff>5556</xdr:colOff>
      <xdr:row>178</xdr:row>
      <xdr:rowOff>291819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ADB8AB7C-0E57-4B2C-9BD4-1EF4B174D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64484250"/>
          <a:ext cx="2936875" cy="103794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179</xdr:row>
      <xdr:rowOff>0</xdr:rowOff>
    </xdr:from>
    <xdr:to>
      <xdr:col>2</xdr:col>
      <xdr:colOff>2382</xdr:colOff>
      <xdr:row>179</xdr:row>
      <xdr:rowOff>1043553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4E470CB4-4E31-4674-99A3-400C16DF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65603438"/>
          <a:ext cx="2952750" cy="10435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2508250</xdr:colOff>
      <xdr:row>181</xdr:row>
      <xdr:rowOff>917434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7955DC45-7183-4AE4-8424-BB46C420A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66738500"/>
          <a:ext cx="2508250" cy="185405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182</xdr:row>
      <xdr:rowOff>1</xdr:rowOff>
    </xdr:from>
    <xdr:to>
      <xdr:col>2</xdr:col>
      <xdr:colOff>2382</xdr:colOff>
      <xdr:row>182</xdr:row>
      <xdr:rowOff>1516121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EA0C3FF3-D1F5-4B76-B317-0EE1C187D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68611751"/>
          <a:ext cx="2857500" cy="151612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183</xdr:row>
      <xdr:rowOff>1</xdr:rowOff>
    </xdr:from>
    <xdr:to>
      <xdr:col>1</xdr:col>
      <xdr:colOff>2754313</xdr:colOff>
      <xdr:row>183</xdr:row>
      <xdr:rowOff>2035945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CAED3484-05D6-4BF8-BF7C-3D628465A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70183376"/>
          <a:ext cx="2754313" cy="203594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184</xdr:row>
      <xdr:rowOff>0</xdr:rowOff>
    </xdr:from>
    <xdr:to>
      <xdr:col>2</xdr:col>
      <xdr:colOff>5426</xdr:colOff>
      <xdr:row>193</xdr:row>
      <xdr:rowOff>214311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8F569742-E675-42CA-BF4F-B5606482A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72278875"/>
          <a:ext cx="2974845" cy="4000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194</xdr:row>
      <xdr:rowOff>0</xdr:rowOff>
    </xdr:from>
    <xdr:to>
      <xdr:col>2</xdr:col>
      <xdr:colOff>794</xdr:colOff>
      <xdr:row>195</xdr:row>
      <xdr:rowOff>641493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A6FF64EF-AACB-465B-91D9-656FC056B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76485750"/>
          <a:ext cx="2913063" cy="13241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196</xdr:row>
      <xdr:rowOff>1</xdr:rowOff>
    </xdr:from>
    <xdr:to>
      <xdr:col>1</xdr:col>
      <xdr:colOff>2571750</xdr:colOff>
      <xdr:row>198</xdr:row>
      <xdr:rowOff>690554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96350A84-5DB0-492D-AB43-B4729E5DD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77851001"/>
          <a:ext cx="2571750" cy="218280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199</xdr:row>
      <xdr:rowOff>1</xdr:rowOff>
    </xdr:from>
    <xdr:to>
      <xdr:col>1</xdr:col>
      <xdr:colOff>2833688</xdr:colOff>
      <xdr:row>201</xdr:row>
      <xdr:rowOff>581021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37CEC00B-8CF7-447D-A6D0-21F3FCA2C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80089376"/>
          <a:ext cx="2833688" cy="181927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202</xdr:row>
      <xdr:rowOff>1</xdr:rowOff>
    </xdr:from>
    <xdr:to>
      <xdr:col>1</xdr:col>
      <xdr:colOff>2833689</xdr:colOff>
      <xdr:row>202</xdr:row>
      <xdr:rowOff>1262763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B0E307A3-CBB1-41DD-824E-2E8CE8BF9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81946751"/>
          <a:ext cx="2833688" cy="1262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203</xdr:row>
      <xdr:rowOff>0</xdr:rowOff>
    </xdr:from>
    <xdr:to>
      <xdr:col>2</xdr:col>
      <xdr:colOff>25077</xdr:colOff>
      <xdr:row>203</xdr:row>
      <xdr:rowOff>1500187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EF400FD8-E93E-486C-A019-318BA54F1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83240563"/>
          <a:ext cx="3009577" cy="150018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204</xdr:row>
      <xdr:rowOff>1</xdr:rowOff>
    </xdr:from>
    <xdr:to>
      <xdr:col>1</xdr:col>
      <xdr:colOff>2579689</xdr:colOff>
      <xdr:row>207</xdr:row>
      <xdr:rowOff>534040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4AD8C120-A696-453C-85C3-671B9C015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84780439"/>
          <a:ext cx="2579688" cy="23676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208</xdr:row>
      <xdr:rowOff>1</xdr:rowOff>
    </xdr:from>
    <xdr:to>
      <xdr:col>2</xdr:col>
      <xdr:colOff>3969</xdr:colOff>
      <xdr:row>210</xdr:row>
      <xdr:rowOff>355319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8B55ABF-C11F-4DFC-8FED-D42FCC571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87225189"/>
          <a:ext cx="2944813" cy="13236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211</xdr:row>
      <xdr:rowOff>0</xdr:rowOff>
    </xdr:from>
    <xdr:to>
      <xdr:col>2</xdr:col>
      <xdr:colOff>794</xdr:colOff>
      <xdr:row>214</xdr:row>
      <xdr:rowOff>406593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B01D6962-4963-4B76-872B-787D1254B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88677750"/>
          <a:ext cx="2960688" cy="178771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215</xdr:row>
      <xdr:rowOff>1</xdr:rowOff>
    </xdr:from>
    <xdr:to>
      <xdr:col>2</xdr:col>
      <xdr:colOff>4064</xdr:colOff>
      <xdr:row>220</xdr:row>
      <xdr:rowOff>15877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BA64C37A-6B16-45BC-B6F4-2DD04B9A3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90519251"/>
          <a:ext cx="2901395" cy="156368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220</xdr:row>
      <xdr:rowOff>0</xdr:rowOff>
    </xdr:from>
    <xdr:to>
      <xdr:col>2</xdr:col>
      <xdr:colOff>4619</xdr:colOff>
      <xdr:row>223</xdr:row>
      <xdr:rowOff>486695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CF3451F1-821C-40C0-AD4F-41BBFF2B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92067063"/>
          <a:ext cx="2921000" cy="20583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224</xdr:row>
      <xdr:rowOff>0</xdr:rowOff>
    </xdr:from>
    <xdr:to>
      <xdr:col>2</xdr:col>
      <xdr:colOff>2381</xdr:colOff>
      <xdr:row>225</xdr:row>
      <xdr:rowOff>449354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EEC67A9-1D52-47FB-A7BC-C7EEEF137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94162563"/>
          <a:ext cx="2952750" cy="92560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226</xdr:row>
      <xdr:rowOff>0</xdr:rowOff>
    </xdr:from>
    <xdr:to>
      <xdr:col>2</xdr:col>
      <xdr:colOff>6810</xdr:colOff>
      <xdr:row>230</xdr:row>
      <xdr:rowOff>142875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00C3E9E8-98F3-484A-A39A-EF286CD1A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95115063"/>
          <a:ext cx="2947654" cy="9683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235</xdr:row>
      <xdr:rowOff>0</xdr:rowOff>
    </xdr:from>
    <xdr:to>
      <xdr:col>2</xdr:col>
      <xdr:colOff>4618</xdr:colOff>
      <xdr:row>235</xdr:row>
      <xdr:rowOff>1999475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68DDF8F0-26BA-4424-8365-EF1E2EC94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96980375"/>
          <a:ext cx="2968625" cy="1999475"/>
        </a:xfrm>
        <a:prstGeom prst="rect">
          <a:avLst/>
        </a:prstGeom>
      </xdr:spPr>
    </xdr:pic>
    <xdr:clientData/>
  </xdr:twoCellAnchor>
  <xdr:twoCellAnchor editAs="oneCell">
    <xdr:from>
      <xdr:col>0</xdr:col>
      <xdr:colOff>746124</xdr:colOff>
      <xdr:row>236</xdr:row>
      <xdr:rowOff>0</xdr:rowOff>
    </xdr:from>
    <xdr:to>
      <xdr:col>2</xdr:col>
      <xdr:colOff>5931</xdr:colOff>
      <xdr:row>237</xdr:row>
      <xdr:rowOff>0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D504A69B-77E7-4B9C-8F8D-23D5EC342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4" y="99020313"/>
          <a:ext cx="2880101" cy="18811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237</xdr:row>
      <xdr:rowOff>0</xdr:rowOff>
    </xdr:from>
    <xdr:to>
      <xdr:col>2</xdr:col>
      <xdr:colOff>3969</xdr:colOff>
      <xdr:row>237</xdr:row>
      <xdr:rowOff>1923455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A11C099E-0087-48A3-A519-FF64F7355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00909438"/>
          <a:ext cx="2944813" cy="192345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238</xdr:row>
      <xdr:rowOff>0</xdr:rowOff>
    </xdr:from>
    <xdr:to>
      <xdr:col>2</xdr:col>
      <xdr:colOff>4618</xdr:colOff>
      <xdr:row>239</xdr:row>
      <xdr:rowOff>1419741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2A51D326-55B1-449E-9DF9-00F5C0E80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02901750"/>
          <a:ext cx="2873375" cy="29040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241</xdr:row>
      <xdr:rowOff>1</xdr:rowOff>
    </xdr:from>
    <xdr:to>
      <xdr:col>2</xdr:col>
      <xdr:colOff>5556</xdr:colOff>
      <xdr:row>241</xdr:row>
      <xdr:rowOff>770745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70E03A13-AB2B-4030-8096-79529EDA0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108775501"/>
          <a:ext cx="2936874" cy="77074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2476500</xdr:colOff>
      <xdr:row>244</xdr:row>
      <xdr:rowOff>643137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F7276C08-7DA2-4AFC-B02A-6A6036623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09616875"/>
          <a:ext cx="2476500" cy="207188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245</xdr:row>
      <xdr:rowOff>1</xdr:rowOff>
    </xdr:from>
    <xdr:to>
      <xdr:col>2</xdr:col>
      <xdr:colOff>3970</xdr:colOff>
      <xdr:row>245</xdr:row>
      <xdr:rowOff>1236645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268E07CB-F794-4908-A599-CFE23C555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111760001"/>
          <a:ext cx="2897188" cy="123664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246</xdr:row>
      <xdr:rowOff>1</xdr:rowOff>
    </xdr:from>
    <xdr:to>
      <xdr:col>2</xdr:col>
      <xdr:colOff>5556</xdr:colOff>
      <xdr:row>246</xdr:row>
      <xdr:rowOff>1019239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5D48FA10-B354-4F7B-AE20-79432D596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13006189"/>
          <a:ext cx="2936875" cy="1019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247</xdr:row>
      <xdr:rowOff>0</xdr:rowOff>
    </xdr:from>
    <xdr:to>
      <xdr:col>2</xdr:col>
      <xdr:colOff>5556</xdr:colOff>
      <xdr:row>247</xdr:row>
      <xdr:rowOff>957324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E8ADD435-F930-4916-841A-B462A267D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14061875"/>
          <a:ext cx="2936875" cy="9573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248</xdr:row>
      <xdr:rowOff>1</xdr:rowOff>
    </xdr:from>
    <xdr:to>
      <xdr:col>2</xdr:col>
      <xdr:colOff>3031</xdr:colOff>
      <xdr:row>248</xdr:row>
      <xdr:rowOff>728737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6F6B039D-3504-497C-93FD-6ABAFAD23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15062001"/>
          <a:ext cx="2976563" cy="7287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249</xdr:row>
      <xdr:rowOff>0</xdr:rowOff>
    </xdr:from>
    <xdr:to>
      <xdr:col>2</xdr:col>
      <xdr:colOff>3031</xdr:colOff>
      <xdr:row>249</xdr:row>
      <xdr:rowOff>842571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E1CCED35-3ACF-4D46-9DF7-07F81BDC3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15879563"/>
          <a:ext cx="2928938" cy="842571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250</xdr:row>
      <xdr:rowOff>0</xdr:rowOff>
    </xdr:from>
    <xdr:to>
      <xdr:col>1</xdr:col>
      <xdr:colOff>2540001</xdr:colOff>
      <xdr:row>250</xdr:row>
      <xdr:rowOff>2394765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EA95CA43-C516-4FA9-921E-46A4CB222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6" y="116768563"/>
          <a:ext cx="2540000" cy="23947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251</xdr:row>
      <xdr:rowOff>1</xdr:rowOff>
    </xdr:from>
    <xdr:to>
      <xdr:col>1</xdr:col>
      <xdr:colOff>2817813</xdr:colOff>
      <xdr:row>251</xdr:row>
      <xdr:rowOff>2212507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E022D0C8-FE06-48D7-8F1C-43B4F6B2A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" y="119229189"/>
          <a:ext cx="2817813" cy="2212506"/>
        </a:xfrm>
        <a:prstGeom prst="rect">
          <a:avLst/>
        </a:prstGeom>
      </xdr:spPr>
    </xdr:pic>
    <xdr:clientData/>
  </xdr:twoCellAnchor>
  <xdr:twoCellAnchor editAs="oneCell">
    <xdr:from>
      <xdr:col>1</xdr:col>
      <xdr:colOff>261938</xdr:colOff>
      <xdr:row>240</xdr:row>
      <xdr:rowOff>11906</xdr:rowOff>
    </xdr:from>
    <xdr:to>
      <xdr:col>1</xdr:col>
      <xdr:colOff>2345532</xdr:colOff>
      <xdr:row>241</xdr:row>
      <xdr:rowOff>11452</xdr:rowOff>
    </xdr:to>
    <xdr:pic>
      <xdr:nvPicPr>
        <xdr:cNvPr id="67" name="Picture 159">
          <a:extLst>
            <a:ext uri="{FF2B5EF4-FFF2-40B4-BE49-F238E27FC236}">
              <a16:creationId xmlns:a16="http://schemas.microsoft.com/office/drawing/2014/main" id="{6F278FF8-EBE3-45E9-B535-AE4D980E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313" y="107715844"/>
          <a:ext cx="2083594" cy="22498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52"/>
  <sheetViews>
    <sheetView tabSelected="1" zoomScale="70" zoomScaleNormal="70" workbookViewId="0">
      <pane ySplit="2" topLeftCell="A3" activePane="bottomLeft" state="frozen"/>
      <selection pane="bottomLeft" activeCell="O10" sqref="O10"/>
    </sheetView>
  </sheetViews>
  <sheetFormatPr defaultRowHeight="15" x14ac:dyDescent="0.25"/>
  <cols>
    <col min="1" max="1" width="10.7109375" style="115" customWidth="1"/>
    <col min="2" max="2" width="42.7109375" style="7" customWidth="1"/>
    <col min="3" max="3" width="17.28515625" style="110" customWidth="1"/>
    <col min="4" max="4" width="12.7109375" style="2" customWidth="1"/>
    <col min="5" max="5" width="23.42578125" style="2" customWidth="1"/>
    <col min="6" max="6" width="10.85546875" style="2" customWidth="1"/>
    <col min="7" max="7" width="16.85546875" style="2" customWidth="1"/>
    <col min="8" max="8" width="12.7109375" style="2" customWidth="1"/>
    <col min="9" max="9" width="14" style="2" customWidth="1"/>
    <col min="10" max="10" width="14.28515625" style="2" customWidth="1"/>
    <col min="11" max="11" width="10.5703125" style="2" customWidth="1"/>
    <col min="12" max="12" width="11.28515625" style="111" customWidth="1"/>
    <col min="13" max="13" width="19.42578125" style="2" bestFit="1" customWidth="1"/>
    <col min="14" max="14" width="10.85546875" customWidth="1"/>
  </cols>
  <sheetData>
    <row r="1" spans="1:13" ht="51" customHeight="1" thickBot="1" x14ac:dyDescent="0.35">
      <c r="A1" s="192" t="s">
        <v>851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</row>
    <row r="2" spans="1:13" ht="51.75" customHeight="1" thickBot="1" x14ac:dyDescent="0.3">
      <c r="A2" s="112" t="s">
        <v>555</v>
      </c>
      <c r="B2" s="66" t="s">
        <v>556</v>
      </c>
      <c r="C2" s="66" t="s">
        <v>13</v>
      </c>
      <c r="D2" s="67" t="s">
        <v>309</v>
      </c>
      <c r="E2" s="67" t="s">
        <v>0</v>
      </c>
      <c r="F2" s="67" t="s">
        <v>557</v>
      </c>
      <c r="G2" s="67" t="s">
        <v>558</v>
      </c>
      <c r="H2" s="67" t="s">
        <v>559</v>
      </c>
      <c r="I2" s="67" t="s">
        <v>560</v>
      </c>
      <c r="J2" s="67" t="s">
        <v>561</v>
      </c>
      <c r="K2" s="67" t="s">
        <v>562</v>
      </c>
      <c r="L2" s="68" t="s">
        <v>821</v>
      </c>
      <c r="M2" s="69" t="s">
        <v>563</v>
      </c>
    </row>
    <row r="3" spans="1:13" ht="18" x14ac:dyDescent="0.25">
      <c r="A3" s="147" t="s">
        <v>4</v>
      </c>
      <c r="B3" s="150"/>
      <c r="C3" s="19" t="s">
        <v>183</v>
      </c>
      <c r="D3" s="21" t="s">
        <v>310</v>
      </c>
      <c r="E3" s="21" t="s">
        <v>207</v>
      </c>
      <c r="F3" s="21">
        <v>4</v>
      </c>
      <c r="G3" s="21" t="s">
        <v>3</v>
      </c>
      <c r="H3" s="21">
        <v>0</v>
      </c>
      <c r="I3" s="21">
        <f t="shared" ref="I3:I33" si="0">H3</f>
        <v>0</v>
      </c>
      <c r="J3" s="21" t="s">
        <v>568</v>
      </c>
      <c r="K3" s="21" t="s">
        <v>2</v>
      </c>
      <c r="L3" s="89">
        <v>0.27082400000000018</v>
      </c>
      <c r="M3" s="120">
        <v>1</v>
      </c>
    </row>
    <row r="4" spans="1:13" ht="18" x14ac:dyDescent="0.25">
      <c r="A4" s="148"/>
      <c r="B4" s="151"/>
      <c r="C4" s="31" t="s">
        <v>45</v>
      </c>
      <c r="D4" s="16" t="s">
        <v>311</v>
      </c>
      <c r="E4" s="16" t="s">
        <v>207</v>
      </c>
      <c r="F4" s="16">
        <v>4</v>
      </c>
      <c r="G4" s="16" t="s">
        <v>569</v>
      </c>
      <c r="H4" s="16">
        <v>6</v>
      </c>
      <c r="I4" s="16">
        <f t="shared" si="0"/>
        <v>6</v>
      </c>
      <c r="J4" s="16" t="s">
        <v>570</v>
      </c>
      <c r="K4" s="16" t="s">
        <v>2</v>
      </c>
      <c r="L4" s="90">
        <v>-1.6578239999999997</v>
      </c>
      <c r="M4" s="121"/>
    </row>
    <row r="5" spans="1:13" ht="18" x14ac:dyDescent="0.25">
      <c r="A5" s="148"/>
      <c r="B5" s="151"/>
      <c r="C5" s="31" t="s">
        <v>55</v>
      </c>
      <c r="D5" s="16" t="s">
        <v>312</v>
      </c>
      <c r="E5" s="16" t="s">
        <v>207</v>
      </c>
      <c r="F5" s="16">
        <v>4</v>
      </c>
      <c r="G5" s="16" t="s">
        <v>571</v>
      </c>
      <c r="H5" s="16">
        <v>7</v>
      </c>
      <c r="I5" s="16">
        <f t="shared" si="0"/>
        <v>7</v>
      </c>
      <c r="J5" s="16" t="s">
        <v>572</v>
      </c>
      <c r="K5" s="16" t="s">
        <v>2</v>
      </c>
      <c r="L5" s="90">
        <v>-2.0049609999999998</v>
      </c>
      <c r="M5" s="121"/>
    </row>
    <row r="6" spans="1:13" ht="18" x14ac:dyDescent="0.25">
      <c r="A6" s="148"/>
      <c r="B6" s="151"/>
      <c r="C6" s="31" t="s">
        <v>44</v>
      </c>
      <c r="D6" s="16" t="s">
        <v>313</v>
      </c>
      <c r="E6" s="16" t="s">
        <v>206</v>
      </c>
      <c r="F6" s="16">
        <v>5</v>
      </c>
      <c r="G6" s="16" t="s">
        <v>569</v>
      </c>
      <c r="H6" s="16">
        <v>6</v>
      </c>
      <c r="I6" s="16">
        <f t="shared" si="0"/>
        <v>6</v>
      </c>
      <c r="J6" s="16" t="s">
        <v>573</v>
      </c>
      <c r="K6" s="16" t="s">
        <v>2</v>
      </c>
      <c r="L6" s="90">
        <v>-1.8311469999999996</v>
      </c>
      <c r="M6" s="121"/>
    </row>
    <row r="7" spans="1:13" ht="18" x14ac:dyDescent="0.25">
      <c r="A7" s="148"/>
      <c r="B7" s="151"/>
      <c r="C7" s="31" t="s">
        <v>54</v>
      </c>
      <c r="D7" s="16" t="s">
        <v>314</v>
      </c>
      <c r="E7" s="16" t="s">
        <v>206</v>
      </c>
      <c r="F7" s="16">
        <v>5</v>
      </c>
      <c r="G7" s="16" t="s">
        <v>571</v>
      </c>
      <c r="H7" s="16">
        <v>7</v>
      </c>
      <c r="I7" s="16">
        <f t="shared" si="0"/>
        <v>7</v>
      </c>
      <c r="J7" s="16" t="s">
        <v>574</v>
      </c>
      <c r="K7" s="16" t="s">
        <v>2</v>
      </c>
      <c r="L7" s="90">
        <v>-2.1782839999999997</v>
      </c>
      <c r="M7" s="121"/>
    </row>
    <row r="8" spans="1:13" ht="18" x14ac:dyDescent="0.25">
      <c r="A8" s="148"/>
      <c r="B8" s="151"/>
      <c r="C8" s="31" t="s">
        <v>182</v>
      </c>
      <c r="D8" s="16" t="s">
        <v>315</v>
      </c>
      <c r="E8" s="16" t="s">
        <v>205</v>
      </c>
      <c r="F8" s="16">
        <v>6</v>
      </c>
      <c r="G8" s="16" t="s">
        <v>3</v>
      </c>
      <c r="H8" s="16">
        <v>0</v>
      </c>
      <c r="I8" s="16">
        <f t="shared" si="0"/>
        <v>0</v>
      </c>
      <c r="J8" s="16" t="s">
        <v>575</v>
      </c>
      <c r="K8" s="16" t="s">
        <v>2</v>
      </c>
      <c r="L8" s="90">
        <v>-7.6312999999999853E-2</v>
      </c>
      <c r="M8" s="121"/>
    </row>
    <row r="9" spans="1:13" ht="18" x14ac:dyDescent="0.25">
      <c r="A9" s="148"/>
      <c r="B9" s="151"/>
      <c r="C9" s="31" t="s">
        <v>43</v>
      </c>
      <c r="D9" s="16" t="s">
        <v>316</v>
      </c>
      <c r="E9" s="16" t="s">
        <v>205</v>
      </c>
      <c r="F9" s="16">
        <v>6</v>
      </c>
      <c r="G9" s="16" t="s">
        <v>569</v>
      </c>
      <c r="H9" s="16">
        <v>6</v>
      </c>
      <c r="I9" s="16">
        <f t="shared" si="0"/>
        <v>6</v>
      </c>
      <c r="J9" s="16" t="s">
        <v>572</v>
      </c>
      <c r="K9" s="16" t="s">
        <v>2</v>
      </c>
      <c r="L9" s="90">
        <v>-2.0049609999999998</v>
      </c>
      <c r="M9" s="121"/>
    </row>
    <row r="10" spans="1:13" ht="18" x14ac:dyDescent="0.25">
      <c r="A10" s="148"/>
      <c r="B10" s="151"/>
      <c r="C10" s="31" t="s">
        <v>53</v>
      </c>
      <c r="D10" s="16" t="s">
        <v>317</v>
      </c>
      <c r="E10" s="16" t="s">
        <v>205</v>
      </c>
      <c r="F10" s="16">
        <v>6</v>
      </c>
      <c r="G10" s="16" t="s">
        <v>571</v>
      </c>
      <c r="H10" s="16">
        <v>7</v>
      </c>
      <c r="I10" s="16">
        <f t="shared" si="0"/>
        <v>7</v>
      </c>
      <c r="J10" s="16" t="s">
        <v>576</v>
      </c>
      <c r="K10" s="16" t="s">
        <v>5</v>
      </c>
      <c r="L10" s="90">
        <v>-2.3520979999999998</v>
      </c>
      <c r="M10" s="121"/>
    </row>
    <row r="11" spans="1:13" ht="18" x14ac:dyDescent="0.25">
      <c r="A11" s="148"/>
      <c r="B11" s="151"/>
      <c r="C11" s="31" t="s">
        <v>61</v>
      </c>
      <c r="D11" s="16" t="s">
        <v>318</v>
      </c>
      <c r="E11" s="16" t="s">
        <v>205</v>
      </c>
      <c r="F11" s="16">
        <v>6</v>
      </c>
      <c r="G11" s="16" t="s">
        <v>577</v>
      </c>
      <c r="H11" s="16">
        <v>8</v>
      </c>
      <c r="I11" s="16">
        <f t="shared" si="0"/>
        <v>8</v>
      </c>
      <c r="J11" s="16" t="s">
        <v>578</v>
      </c>
      <c r="K11" s="16" t="s">
        <v>5</v>
      </c>
      <c r="L11" s="90">
        <v>-2.6992349999999998</v>
      </c>
      <c r="M11" s="121"/>
    </row>
    <row r="12" spans="1:13" ht="18" x14ac:dyDescent="0.25">
      <c r="A12" s="148"/>
      <c r="B12" s="151"/>
      <c r="C12" s="31" t="s">
        <v>75</v>
      </c>
      <c r="D12" s="16" t="s">
        <v>319</v>
      </c>
      <c r="E12" s="16" t="s">
        <v>205</v>
      </c>
      <c r="F12" s="16">
        <v>6</v>
      </c>
      <c r="G12" s="16" t="s">
        <v>579</v>
      </c>
      <c r="H12" s="16">
        <v>9</v>
      </c>
      <c r="I12" s="16">
        <f t="shared" si="0"/>
        <v>9</v>
      </c>
      <c r="J12" s="16" t="s">
        <v>580</v>
      </c>
      <c r="K12" s="16" t="s">
        <v>5</v>
      </c>
      <c r="L12" s="90">
        <v>-3.0463719999999999</v>
      </c>
      <c r="M12" s="121"/>
    </row>
    <row r="13" spans="1:13" ht="18" x14ac:dyDescent="0.25">
      <c r="A13" s="148"/>
      <c r="B13" s="151"/>
      <c r="C13" s="31" t="s">
        <v>74</v>
      </c>
      <c r="D13" s="16" t="s">
        <v>320</v>
      </c>
      <c r="E13" s="16" t="s">
        <v>205</v>
      </c>
      <c r="F13" s="16">
        <v>6</v>
      </c>
      <c r="G13" s="16" t="s">
        <v>581</v>
      </c>
      <c r="H13" s="16">
        <v>10</v>
      </c>
      <c r="I13" s="16">
        <f t="shared" si="0"/>
        <v>10</v>
      </c>
      <c r="J13" s="16" t="s">
        <v>582</v>
      </c>
      <c r="K13" s="16" t="s">
        <v>2</v>
      </c>
      <c r="L13" s="90">
        <v>-3.3935089999999999</v>
      </c>
      <c r="M13" s="121"/>
    </row>
    <row r="14" spans="1:13" ht="18" x14ac:dyDescent="0.25">
      <c r="A14" s="148"/>
      <c r="B14" s="151"/>
      <c r="C14" s="31" t="s">
        <v>73</v>
      </c>
      <c r="D14" s="16" t="s">
        <v>321</v>
      </c>
      <c r="E14" s="16" t="s">
        <v>205</v>
      </c>
      <c r="F14" s="16">
        <v>6</v>
      </c>
      <c r="G14" s="16" t="s">
        <v>583</v>
      </c>
      <c r="H14" s="16">
        <v>12</v>
      </c>
      <c r="I14" s="16">
        <f t="shared" si="0"/>
        <v>12</v>
      </c>
      <c r="J14" s="16" t="s">
        <v>584</v>
      </c>
      <c r="K14" s="16" t="s">
        <v>2</v>
      </c>
      <c r="L14" s="16">
        <v>-4.0880000000000001</v>
      </c>
      <c r="M14" s="121"/>
    </row>
    <row r="15" spans="1:13" ht="18" x14ac:dyDescent="0.25">
      <c r="A15" s="148"/>
      <c r="B15" s="151"/>
      <c r="C15" s="31" t="s">
        <v>42</v>
      </c>
      <c r="D15" s="16" t="s">
        <v>322</v>
      </c>
      <c r="E15" s="16" t="s">
        <v>204</v>
      </c>
      <c r="F15" s="16">
        <v>7</v>
      </c>
      <c r="G15" s="16" t="s">
        <v>569</v>
      </c>
      <c r="H15" s="16">
        <v>6</v>
      </c>
      <c r="I15" s="16">
        <f t="shared" si="0"/>
        <v>6</v>
      </c>
      <c r="J15" s="16" t="s">
        <v>574</v>
      </c>
      <c r="K15" s="16" t="s">
        <v>2</v>
      </c>
      <c r="L15" s="90">
        <v>-2.1782839999999997</v>
      </c>
      <c r="M15" s="121"/>
    </row>
    <row r="16" spans="1:13" ht="18" x14ac:dyDescent="0.25">
      <c r="A16" s="148"/>
      <c r="B16" s="151"/>
      <c r="C16" s="31" t="s">
        <v>52</v>
      </c>
      <c r="D16" s="16" t="s">
        <v>323</v>
      </c>
      <c r="E16" s="16" t="s">
        <v>204</v>
      </c>
      <c r="F16" s="16">
        <v>7</v>
      </c>
      <c r="G16" s="16" t="s">
        <v>571</v>
      </c>
      <c r="H16" s="16">
        <v>7</v>
      </c>
      <c r="I16" s="16">
        <f t="shared" si="0"/>
        <v>7</v>
      </c>
      <c r="J16" s="16" t="s">
        <v>585</v>
      </c>
      <c r="K16" s="16" t="s">
        <v>2</v>
      </c>
      <c r="L16" s="90">
        <v>-2.525911999999999</v>
      </c>
      <c r="M16" s="121"/>
    </row>
    <row r="17" spans="1:14" ht="18" x14ac:dyDescent="0.25">
      <c r="A17" s="148"/>
      <c r="B17" s="151"/>
      <c r="C17" s="31" t="s">
        <v>60</v>
      </c>
      <c r="D17" s="16" t="s">
        <v>324</v>
      </c>
      <c r="E17" s="16" t="s">
        <v>204</v>
      </c>
      <c r="F17" s="16">
        <v>7</v>
      </c>
      <c r="G17" s="16" t="s">
        <v>577</v>
      </c>
      <c r="H17" s="16">
        <v>8</v>
      </c>
      <c r="I17" s="16">
        <f t="shared" si="0"/>
        <v>8</v>
      </c>
      <c r="J17" s="16" t="s">
        <v>586</v>
      </c>
      <c r="K17" s="16" t="s">
        <v>2</v>
      </c>
      <c r="L17" s="90">
        <v>-2.873049</v>
      </c>
      <c r="M17" s="121"/>
    </row>
    <row r="18" spans="1:14" ht="18" x14ac:dyDescent="0.25">
      <c r="A18" s="148"/>
      <c r="B18" s="151"/>
      <c r="C18" s="31" t="s">
        <v>72</v>
      </c>
      <c r="D18" s="16" t="s">
        <v>325</v>
      </c>
      <c r="E18" s="16" t="s">
        <v>204</v>
      </c>
      <c r="F18" s="16">
        <v>7</v>
      </c>
      <c r="G18" s="16" t="s">
        <v>579</v>
      </c>
      <c r="H18" s="16">
        <v>9</v>
      </c>
      <c r="I18" s="16">
        <f t="shared" si="0"/>
        <v>9</v>
      </c>
      <c r="J18" s="16" t="s">
        <v>587</v>
      </c>
      <c r="K18" s="16" t="s">
        <v>2</v>
      </c>
      <c r="L18" s="90">
        <v>-3.220186</v>
      </c>
      <c r="M18" s="121"/>
    </row>
    <row r="19" spans="1:14" ht="18" x14ac:dyDescent="0.25">
      <c r="A19" s="148"/>
      <c r="B19" s="151"/>
      <c r="C19" s="31" t="s">
        <v>71</v>
      </c>
      <c r="D19" s="16" t="s">
        <v>326</v>
      </c>
      <c r="E19" s="16" t="s">
        <v>204</v>
      </c>
      <c r="F19" s="16">
        <v>7</v>
      </c>
      <c r="G19" s="16" t="s">
        <v>581</v>
      </c>
      <c r="H19" s="16">
        <v>10</v>
      </c>
      <c r="I19" s="16">
        <f t="shared" si="0"/>
        <v>10</v>
      </c>
      <c r="J19" s="16" t="s">
        <v>588</v>
      </c>
      <c r="K19" s="16" t="s">
        <v>2</v>
      </c>
      <c r="L19" s="90">
        <v>-3.567323</v>
      </c>
      <c r="M19" s="121"/>
    </row>
    <row r="20" spans="1:14" ht="18" x14ac:dyDescent="0.25">
      <c r="A20" s="148"/>
      <c r="B20" s="151"/>
      <c r="C20" s="31" t="s">
        <v>70</v>
      </c>
      <c r="D20" s="16" t="s">
        <v>327</v>
      </c>
      <c r="E20" s="16" t="s">
        <v>204</v>
      </c>
      <c r="F20" s="16">
        <v>7</v>
      </c>
      <c r="G20" s="16" t="s">
        <v>583</v>
      </c>
      <c r="H20" s="16">
        <v>12</v>
      </c>
      <c r="I20" s="16">
        <f t="shared" si="0"/>
        <v>12</v>
      </c>
      <c r="J20" s="16" t="s">
        <v>589</v>
      </c>
      <c r="K20" s="16" t="s">
        <v>2</v>
      </c>
      <c r="L20" s="90">
        <v>-4.2615970000000001</v>
      </c>
      <c r="M20" s="121"/>
    </row>
    <row r="21" spans="1:14" ht="18" x14ac:dyDescent="0.25">
      <c r="A21" s="148"/>
      <c r="B21" s="151"/>
      <c r="C21" s="31" t="s">
        <v>181</v>
      </c>
      <c r="D21" s="16" t="s">
        <v>328</v>
      </c>
      <c r="E21" s="16" t="s">
        <v>203</v>
      </c>
      <c r="F21" s="16">
        <v>8</v>
      </c>
      <c r="G21" s="16" t="s">
        <v>3</v>
      </c>
      <c r="H21" s="16">
        <v>0</v>
      </c>
      <c r="I21" s="16">
        <f t="shared" si="0"/>
        <v>0</v>
      </c>
      <c r="J21" s="16" t="s">
        <v>590</v>
      </c>
      <c r="K21" s="16" t="s">
        <v>2</v>
      </c>
      <c r="L21" s="90">
        <v>-0.42344999999999988</v>
      </c>
      <c r="M21" s="121"/>
    </row>
    <row r="22" spans="1:14" ht="18" x14ac:dyDescent="0.25">
      <c r="A22" s="148"/>
      <c r="B22" s="151"/>
      <c r="C22" s="31" t="s">
        <v>41</v>
      </c>
      <c r="D22" s="16" t="s">
        <v>329</v>
      </c>
      <c r="E22" s="16" t="s">
        <v>203</v>
      </c>
      <c r="F22" s="16">
        <v>8</v>
      </c>
      <c r="G22" s="16" t="s">
        <v>569</v>
      </c>
      <c r="H22" s="16">
        <v>6</v>
      </c>
      <c r="I22" s="16">
        <f t="shared" si="0"/>
        <v>6</v>
      </c>
      <c r="J22" s="16" t="s">
        <v>576</v>
      </c>
      <c r="K22" s="16" t="s">
        <v>2</v>
      </c>
      <c r="L22" s="90">
        <v>-2.3520979999999998</v>
      </c>
      <c r="M22" s="121"/>
    </row>
    <row r="23" spans="1:14" ht="18" x14ac:dyDescent="0.25">
      <c r="A23" s="148"/>
      <c r="B23" s="151"/>
      <c r="C23" s="31" t="s">
        <v>51</v>
      </c>
      <c r="D23" s="16" t="s">
        <v>330</v>
      </c>
      <c r="E23" s="16" t="s">
        <v>203</v>
      </c>
      <c r="F23" s="16">
        <v>8</v>
      </c>
      <c r="G23" s="16" t="s">
        <v>571</v>
      </c>
      <c r="H23" s="16">
        <v>7</v>
      </c>
      <c r="I23" s="16">
        <f t="shared" si="0"/>
        <v>7</v>
      </c>
      <c r="J23" s="16" t="s">
        <v>578</v>
      </c>
      <c r="K23" s="16" t="s">
        <v>5</v>
      </c>
      <c r="L23" s="90">
        <v>-2.6992349999999998</v>
      </c>
      <c r="M23" s="121"/>
    </row>
    <row r="24" spans="1:14" ht="18" x14ac:dyDescent="0.25">
      <c r="A24" s="148"/>
      <c r="B24" s="151"/>
      <c r="C24" s="31" t="s">
        <v>59</v>
      </c>
      <c r="D24" s="16" t="s">
        <v>331</v>
      </c>
      <c r="E24" s="16" t="s">
        <v>203</v>
      </c>
      <c r="F24" s="16">
        <v>8</v>
      </c>
      <c r="G24" s="16" t="s">
        <v>577</v>
      </c>
      <c r="H24" s="16">
        <v>8</v>
      </c>
      <c r="I24" s="16">
        <f t="shared" si="0"/>
        <v>8</v>
      </c>
      <c r="J24" s="16" t="s">
        <v>580</v>
      </c>
      <c r="K24" s="16" t="s">
        <v>2</v>
      </c>
      <c r="L24" s="90">
        <v>-3.0463719999999999</v>
      </c>
      <c r="M24" s="121"/>
    </row>
    <row r="25" spans="1:14" ht="18" x14ac:dyDescent="0.25">
      <c r="A25" s="148"/>
      <c r="B25" s="151"/>
      <c r="C25" s="31" t="s">
        <v>69</v>
      </c>
      <c r="D25" s="16" t="s">
        <v>332</v>
      </c>
      <c r="E25" s="16" t="s">
        <v>203</v>
      </c>
      <c r="F25" s="16">
        <v>8</v>
      </c>
      <c r="G25" s="16" t="s">
        <v>579</v>
      </c>
      <c r="H25" s="16">
        <v>9</v>
      </c>
      <c r="I25" s="16">
        <f t="shared" si="0"/>
        <v>9</v>
      </c>
      <c r="J25" s="16" t="s">
        <v>582</v>
      </c>
      <c r="K25" s="16" t="s">
        <v>2</v>
      </c>
      <c r="L25" s="90">
        <v>-3.3935089999999999</v>
      </c>
      <c r="M25" s="121"/>
    </row>
    <row r="26" spans="1:14" ht="18.75" customHeight="1" x14ac:dyDescent="0.25">
      <c r="A26" s="148"/>
      <c r="B26" s="151"/>
      <c r="C26" s="31" t="s">
        <v>68</v>
      </c>
      <c r="D26" s="16" t="s">
        <v>333</v>
      </c>
      <c r="E26" s="16" t="s">
        <v>203</v>
      </c>
      <c r="F26" s="16">
        <v>8</v>
      </c>
      <c r="G26" s="16" t="s">
        <v>581</v>
      </c>
      <c r="H26" s="16">
        <v>10</v>
      </c>
      <c r="I26" s="16">
        <f t="shared" si="0"/>
        <v>10</v>
      </c>
      <c r="J26" s="16" t="s">
        <v>591</v>
      </c>
      <c r="K26" s="16" t="s">
        <v>2</v>
      </c>
      <c r="L26" s="90">
        <v>-3.7406459999999999</v>
      </c>
      <c r="M26" s="121"/>
      <c r="N26" s="9"/>
    </row>
    <row r="27" spans="1:14" ht="18" x14ac:dyDescent="0.25">
      <c r="A27" s="148"/>
      <c r="B27" s="151"/>
      <c r="C27" s="31" t="s">
        <v>67</v>
      </c>
      <c r="D27" s="16" t="s">
        <v>552</v>
      </c>
      <c r="E27" s="16" t="s">
        <v>203</v>
      </c>
      <c r="F27" s="16">
        <v>8</v>
      </c>
      <c r="G27" s="16" t="s">
        <v>583</v>
      </c>
      <c r="H27" s="16">
        <v>12</v>
      </c>
      <c r="I27" s="16">
        <f t="shared" si="0"/>
        <v>12</v>
      </c>
      <c r="J27" s="16" t="s">
        <v>592</v>
      </c>
      <c r="K27" s="16" t="s">
        <v>2</v>
      </c>
      <c r="L27" s="90">
        <v>-4.4354109999999984</v>
      </c>
      <c r="M27" s="121"/>
      <c r="N27" s="9"/>
    </row>
    <row r="28" spans="1:14" ht="18" x14ac:dyDescent="0.25">
      <c r="A28" s="148"/>
      <c r="B28" s="151"/>
      <c r="C28" s="31" t="s">
        <v>40</v>
      </c>
      <c r="D28" s="16" t="s">
        <v>334</v>
      </c>
      <c r="E28" s="16" t="s">
        <v>202</v>
      </c>
      <c r="F28" s="16">
        <v>9</v>
      </c>
      <c r="G28" s="16" t="s">
        <v>569</v>
      </c>
      <c r="H28" s="16">
        <v>6</v>
      </c>
      <c r="I28" s="16">
        <f t="shared" si="0"/>
        <v>6</v>
      </c>
      <c r="J28" s="16" t="s">
        <v>585</v>
      </c>
      <c r="K28" s="16" t="s">
        <v>2</v>
      </c>
      <c r="L28" s="90">
        <v>-2.525911999999999</v>
      </c>
      <c r="M28" s="121"/>
    </row>
    <row r="29" spans="1:14" ht="18" x14ac:dyDescent="0.25">
      <c r="A29" s="148"/>
      <c r="B29" s="151"/>
      <c r="C29" s="31" t="s">
        <v>49</v>
      </c>
      <c r="D29" s="16" t="s">
        <v>335</v>
      </c>
      <c r="E29" s="16" t="s">
        <v>202</v>
      </c>
      <c r="F29" s="16">
        <v>9</v>
      </c>
      <c r="G29" s="16" t="s">
        <v>571</v>
      </c>
      <c r="H29" s="16">
        <v>7</v>
      </c>
      <c r="I29" s="16">
        <f t="shared" si="0"/>
        <v>7</v>
      </c>
      <c r="J29" s="16" t="s">
        <v>586</v>
      </c>
      <c r="K29" s="16" t="s">
        <v>5</v>
      </c>
      <c r="L29" s="90">
        <v>-2.873049</v>
      </c>
      <c r="M29" s="121"/>
    </row>
    <row r="30" spans="1:14" ht="18" x14ac:dyDescent="0.25">
      <c r="A30" s="148"/>
      <c r="B30" s="151"/>
      <c r="C30" s="31" t="s">
        <v>50</v>
      </c>
      <c r="D30" s="16" t="s">
        <v>336</v>
      </c>
      <c r="E30" s="16" t="s">
        <v>202</v>
      </c>
      <c r="F30" s="16">
        <v>9</v>
      </c>
      <c r="G30" s="16" t="s">
        <v>577</v>
      </c>
      <c r="H30" s="16">
        <v>8</v>
      </c>
      <c r="I30" s="16">
        <f t="shared" si="0"/>
        <v>8</v>
      </c>
      <c r="J30" s="16" t="s">
        <v>587</v>
      </c>
      <c r="K30" s="16" t="s">
        <v>5</v>
      </c>
      <c r="L30" s="90">
        <v>-3.220186</v>
      </c>
      <c r="M30" s="121"/>
    </row>
    <row r="31" spans="1:14" ht="18" x14ac:dyDescent="0.25">
      <c r="A31" s="148"/>
      <c r="B31" s="151"/>
      <c r="C31" s="31" t="s">
        <v>64</v>
      </c>
      <c r="D31" s="16" t="s">
        <v>337</v>
      </c>
      <c r="E31" s="16" t="s">
        <v>202</v>
      </c>
      <c r="F31" s="16">
        <v>9</v>
      </c>
      <c r="G31" s="16" t="s">
        <v>579</v>
      </c>
      <c r="H31" s="16">
        <v>9</v>
      </c>
      <c r="I31" s="16">
        <f t="shared" si="0"/>
        <v>9</v>
      </c>
      <c r="J31" s="16" t="s">
        <v>588</v>
      </c>
      <c r="K31" s="16" t="s">
        <v>2</v>
      </c>
      <c r="L31" s="90">
        <v>-3.567323</v>
      </c>
      <c r="M31" s="121"/>
    </row>
    <row r="32" spans="1:14" ht="18" x14ac:dyDescent="0.25">
      <c r="A32" s="148"/>
      <c r="B32" s="151"/>
      <c r="C32" s="31" t="s">
        <v>66</v>
      </c>
      <c r="D32" s="16" t="s">
        <v>338</v>
      </c>
      <c r="E32" s="16" t="s">
        <v>202</v>
      </c>
      <c r="F32" s="16">
        <v>9</v>
      </c>
      <c r="G32" s="16" t="s">
        <v>581</v>
      </c>
      <c r="H32" s="16">
        <v>10</v>
      </c>
      <c r="I32" s="16">
        <f t="shared" si="0"/>
        <v>10</v>
      </c>
      <c r="J32" s="16" t="s">
        <v>593</v>
      </c>
      <c r="K32" s="16" t="s">
        <v>2</v>
      </c>
      <c r="L32" s="90">
        <v>-3.9144599999999992</v>
      </c>
      <c r="M32" s="121"/>
    </row>
    <row r="33" spans="1:13" ht="18" x14ac:dyDescent="0.25">
      <c r="A33" s="148"/>
      <c r="B33" s="151"/>
      <c r="C33" s="31" t="s">
        <v>65</v>
      </c>
      <c r="D33" s="16" t="s">
        <v>339</v>
      </c>
      <c r="E33" s="16" t="s">
        <v>202</v>
      </c>
      <c r="F33" s="16">
        <v>9</v>
      </c>
      <c r="G33" s="16" t="s">
        <v>583</v>
      </c>
      <c r="H33" s="16">
        <v>12</v>
      </c>
      <c r="I33" s="16">
        <f t="shared" si="0"/>
        <v>12</v>
      </c>
      <c r="J33" s="16" t="s">
        <v>594</v>
      </c>
      <c r="K33" s="16" t="s">
        <v>2</v>
      </c>
      <c r="L33" s="90">
        <v>-4.6087340000000001</v>
      </c>
      <c r="M33" s="121"/>
    </row>
    <row r="34" spans="1:13" ht="18" x14ac:dyDescent="0.25">
      <c r="A34" s="148"/>
      <c r="B34" s="151"/>
      <c r="C34" s="31" t="s">
        <v>185</v>
      </c>
      <c r="D34" s="16" t="s">
        <v>340</v>
      </c>
      <c r="E34" s="16" t="s">
        <v>201</v>
      </c>
      <c r="F34" s="16">
        <v>10</v>
      </c>
      <c r="G34" s="16" t="s">
        <v>3</v>
      </c>
      <c r="H34" s="16">
        <v>0</v>
      </c>
      <c r="I34" s="16">
        <f t="shared" ref="I34:I63" si="1">H34</f>
        <v>0</v>
      </c>
      <c r="J34" s="16" t="s">
        <v>595</v>
      </c>
      <c r="K34" s="16" t="s">
        <v>2</v>
      </c>
      <c r="L34" s="90">
        <v>-0.77107799999999926</v>
      </c>
      <c r="M34" s="121"/>
    </row>
    <row r="35" spans="1:13" ht="18" x14ac:dyDescent="0.25">
      <c r="A35" s="148"/>
      <c r="B35" s="151"/>
      <c r="C35" s="31" t="s">
        <v>46</v>
      </c>
      <c r="D35" s="16" t="s">
        <v>341</v>
      </c>
      <c r="E35" s="16" t="s">
        <v>201</v>
      </c>
      <c r="F35" s="16">
        <v>10</v>
      </c>
      <c r="G35" s="16" t="s">
        <v>569</v>
      </c>
      <c r="H35" s="16">
        <v>6</v>
      </c>
      <c r="I35" s="16">
        <f t="shared" si="1"/>
        <v>6</v>
      </c>
      <c r="J35" s="16" t="s">
        <v>578</v>
      </c>
      <c r="K35" s="16" t="s">
        <v>2</v>
      </c>
      <c r="L35" s="90">
        <v>-2.6992349999999998</v>
      </c>
      <c r="M35" s="121"/>
    </row>
    <row r="36" spans="1:13" ht="18" x14ac:dyDescent="0.25">
      <c r="A36" s="148"/>
      <c r="B36" s="151"/>
      <c r="C36" s="31" t="s">
        <v>58</v>
      </c>
      <c r="D36" s="16" t="s">
        <v>342</v>
      </c>
      <c r="E36" s="16" t="s">
        <v>201</v>
      </c>
      <c r="F36" s="16">
        <v>10</v>
      </c>
      <c r="G36" s="16" t="s">
        <v>571</v>
      </c>
      <c r="H36" s="16">
        <v>7</v>
      </c>
      <c r="I36" s="16">
        <f t="shared" si="1"/>
        <v>7</v>
      </c>
      <c r="J36" s="16" t="s">
        <v>580</v>
      </c>
      <c r="K36" s="16" t="s">
        <v>5</v>
      </c>
      <c r="L36" s="90">
        <v>-3.0463719999999999</v>
      </c>
      <c r="M36" s="121"/>
    </row>
    <row r="37" spans="1:13" ht="18" x14ac:dyDescent="0.25">
      <c r="A37" s="148"/>
      <c r="B37" s="151"/>
      <c r="C37" s="31" t="s">
        <v>63</v>
      </c>
      <c r="D37" s="16" t="s">
        <v>343</v>
      </c>
      <c r="E37" s="16" t="s">
        <v>201</v>
      </c>
      <c r="F37" s="16">
        <v>10</v>
      </c>
      <c r="G37" s="16" t="s">
        <v>577</v>
      </c>
      <c r="H37" s="16">
        <v>8</v>
      </c>
      <c r="I37" s="16">
        <f t="shared" si="1"/>
        <v>8</v>
      </c>
      <c r="J37" s="16" t="s">
        <v>582</v>
      </c>
      <c r="K37" s="16" t="s">
        <v>5</v>
      </c>
      <c r="L37" s="90">
        <v>-3.3935089999999999</v>
      </c>
      <c r="M37" s="121"/>
    </row>
    <row r="38" spans="1:13" ht="18" x14ac:dyDescent="0.25">
      <c r="A38" s="148"/>
      <c r="B38" s="151"/>
      <c r="C38" s="31" t="s">
        <v>80</v>
      </c>
      <c r="D38" s="16" t="s">
        <v>344</v>
      </c>
      <c r="E38" s="16" t="s">
        <v>201</v>
      </c>
      <c r="F38" s="16">
        <v>10</v>
      </c>
      <c r="G38" s="16" t="s">
        <v>579</v>
      </c>
      <c r="H38" s="16">
        <v>9</v>
      </c>
      <c r="I38" s="16">
        <f t="shared" si="1"/>
        <v>9</v>
      </c>
      <c r="J38" s="16" t="s">
        <v>591</v>
      </c>
      <c r="K38" s="16" t="s">
        <v>2</v>
      </c>
      <c r="L38" s="90">
        <v>-3.7406459999999999</v>
      </c>
      <c r="M38" s="121"/>
    </row>
    <row r="39" spans="1:13" ht="18" x14ac:dyDescent="0.25">
      <c r="A39" s="148"/>
      <c r="B39" s="151"/>
      <c r="C39" s="31" t="s">
        <v>78</v>
      </c>
      <c r="D39" s="16" t="s">
        <v>345</v>
      </c>
      <c r="E39" s="16" t="s">
        <v>201</v>
      </c>
      <c r="F39" s="16">
        <v>10</v>
      </c>
      <c r="G39" s="16" t="s">
        <v>581</v>
      </c>
      <c r="H39" s="16">
        <v>10</v>
      </c>
      <c r="I39" s="16">
        <f t="shared" si="1"/>
        <v>10</v>
      </c>
      <c r="J39" s="16" t="s">
        <v>584</v>
      </c>
      <c r="K39" s="16" t="s">
        <v>2</v>
      </c>
      <c r="L39" s="90">
        <v>-4.0877829999999999</v>
      </c>
      <c r="M39" s="121"/>
    </row>
    <row r="40" spans="1:13" ht="18" x14ac:dyDescent="0.25">
      <c r="A40" s="148"/>
      <c r="B40" s="151"/>
      <c r="C40" s="31" t="s">
        <v>184</v>
      </c>
      <c r="D40" s="16" t="s">
        <v>346</v>
      </c>
      <c r="E40" s="16" t="s">
        <v>596</v>
      </c>
      <c r="F40" s="16">
        <v>12</v>
      </c>
      <c r="G40" s="16" t="s">
        <v>3</v>
      </c>
      <c r="H40" s="16">
        <v>0</v>
      </c>
      <c r="I40" s="16">
        <f t="shared" si="1"/>
        <v>0</v>
      </c>
      <c r="J40" s="16" t="s">
        <v>597</v>
      </c>
      <c r="K40" s="16" t="s">
        <v>2</v>
      </c>
      <c r="L40" s="90">
        <v>-1.1182150000000002</v>
      </c>
      <c r="M40" s="121"/>
    </row>
    <row r="41" spans="1:13" ht="18" x14ac:dyDescent="0.25">
      <c r="A41" s="148"/>
      <c r="B41" s="151"/>
      <c r="C41" s="31" t="s">
        <v>48</v>
      </c>
      <c r="D41" s="16" t="s">
        <v>347</v>
      </c>
      <c r="E41" s="16" t="s">
        <v>596</v>
      </c>
      <c r="F41" s="16">
        <v>12</v>
      </c>
      <c r="G41" s="16" t="s">
        <v>569</v>
      </c>
      <c r="H41" s="16">
        <v>6</v>
      </c>
      <c r="I41" s="16">
        <f t="shared" si="1"/>
        <v>6</v>
      </c>
      <c r="J41" s="16" t="s">
        <v>580</v>
      </c>
      <c r="K41" s="16" t="s">
        <v>5</v>
      </c>
      <c r="L41" s="90">
        <v>-3.0463719999999999</v>
      </c>
      <c r="M41" s="121"/>
    </row>
    <row r="42" spans="1:13" ht="18" x14ac:dyDescent="0.25">
      <c r="A42" s="148"/>
      <c r="B42" s="151"/>
      <c r="C42" s="31" t="s">
        <v>57</v>
      </c>
      <c r="D42" s="16" t="s">
        <v>348</v>
      </c>
      <c r="E42" s="16" t="s">
        <v>596</v>
      </c>
      <c r="F42" s="16">
        <v>12</v>
      </c>
      <c r="G42" s="16" t="s">
        <v>571</v>
      </c>
      <c r="H42" s="16">
        <v>7</v>
      </c>
      <c r="I42" s="16">
        <f t="shared" si="1"/>
        <v>7</v>
      </c>
      <c r="J42" s="16" t="s">
        <v>582</v>
      </c>
      <c r="K42" s="16" t="s">
        <v>5</v>
      </c>
      <c r="L42" s="90">
        <v>-3.3935089999999999</v>
      </c>
      <c r="M42" s="121"/>
    </row>
    <row r="43" spans="1:13" ht="18" x14ac:dyDescent="0.25">
      <c r="A43" s="148"/>
      <c r="B43" s="151"/>
      <c r="C43" s="31" t="s">
        <v>62</v>
      </c>
      <c r="D43" s="16" t="s">
        <v>349</v>
      </c>
      <c r="E43" s="16" t="s">
        <v>596</v>
      </c>
      <c r="F43" s="16">
        <v>12</v>
      </c>
      <c r="G43" s="16" t="s">
        <v>577</v>
      </c>
      <c r="H43" s="16">
        <v>8</v>
      </c>
      <c r="I43" s="16">
        <f t="shared" si="1"/>
        <v>8</v>
      </c>
      <c r="J43" s="16" t="s">
        <v>591</v>
      </c>
      <c r="K43" s="16" t="s">
        <v>2</v>
      </c>
      <c r="L43" s="90">
        <v>-3.7406459999999999</v>
      </c>
      <c r="M43" s="121"/>
    </row>
    <row r="44" spans="1:13" ht="18" x14ac:dyDescent="0.25">
      <c r="A44" s="148"/>
      <c r="B44" s="151"/>
      <c r="C44" s="31" t="s">
        <v>79</v>
      </c>
      <c r="D44" s="16" t="s">
        <v>350</v>
      </c>
      <c r="E44" s="16" t="s">
        <v>596</v>
      </c>
      <c r="F44" s="16">
        <v>12</v>
      </c>
      <c r="G44" s="16" t="s">
        <v>579</v>
      </c>
      <c r="H44" s="16">
        <v>9</v>
      </c>
      <c r="I44" s="16">
        <f t="shared" si="1"/>
        <v>9</v>
      </c>
      <c r="J44" s="16" t="s">
        <v>584</v>
      </c>
      <c r="K44" s="16" t="s">
        <v>2</v>
      </c>
      <c r="L44" s="90">
        <v>-4.0877829999999999</v>
      </c>
      <c r="M44" s="121"/>
    </row>
    <row r="45" spans="1:13" ht="18" x14ac:dyDescent="0.25">
      <c r="A45" s="148"/>
      <c r="B45" s="151"/>
      <c r="C45" s="31" t="s">
        <v>77</v>
      </c>
      <c r="D45" s="16" t="s">
        <v>351</v>
      </c>
      <c r="E45" s="16" t="s">
        <v>596</v>
      </c>
      <c r="F45" s="16">
        <v>12</v>
      </c>
      <c r="G45" s="16" t="s">
        <v>581</v>
      </c>
      <c r="H45" s="16">
        <v>10</v>
      </c>
      <c r="I45" s="16">
        <f t="shared" si="1"/>
        <v>10</v>
      </c>
      <c r="J45" s="16" t="s">
        <v>592</v>
      </c>
      <c r="K45" s="16" t="s">
        <v>2</v>
      </c>
      <c r="L45" s="90">
        <v>-4.4354109999999984</v>
      </c>
      <c r="M45" s="121"/>
    </row>
    <row r="46" spans="1:13" ht="18" x14ac:dyDescent="0.25">
      <c r="A46" s="148"/>
      <c r="B46" s="151"/>
      <c r="C46" s="31" t="s">
        <v>76</v>
      </c>
      <c r="D46" s="16" t="s">
        <v>352</v>
      </c>
      <c r="E46" s="16" t="s">
        <v>596</v>
      </c>
      <c r="F46" s="16">
        <v>12</v>
      </c>
      <c r="G46" s="16" t="s">
        <v>583</v>
      </c>
      <c r="H46" s="16">
        <v>12</v>
      </c>
      <c r="I46" s="16">
        <f t="shared" si="1"/>
        <v>12</v>
      </c>
      <c r="J46" s="16" t="s">
        <v>598</v>
      </c>
      <c r="K46" s="16" t="s">
        <v>2</v>
      </c>
      <c r="L46" s="90">
        <v>-5.1296850000000003</v>
      </c>
      <c r="M46" s="121"/>
    </row>
    <row r="47" spans="1:13" ht="18" x14ac:dyDescent="0.25">
      <c r="A47" s="148"/>
      <c r="B47" s="151"/>
      <c r="C47" s="31" t="s">
        <v>47</v>
      </c>
      <c r="D47" s="16" t="s">
        <v>353</v>
      </c>
      <c r="E47" s="16" t="s">
        <v>599</v>
      </c>
      <c r="F47" s="16">
        <v>14</v>
      </c>
      <c r="G47" s="16" t="s">
        <v>569</v>
      </c>
      <c r="H47" s="16">
        <v>6</v>
      </c>
      <c r="I47" s="16">
        <f t="shared" si="1"/>
        <v>6</v>
      </c>
      <c r="J47" s="16" t="s">
        <v>582</v>
      </c>
      <c r="K47" s="16" t="s">
        <v>5</v>
      </c>
      <c r="L47" s="90">
        <v>-3.3935089999999999</v>
      </c>
      <c r="M47" s="121"/>
    </row>
    <row r="48" spans="1:13" ht="18" x14ac:dyDescent="0.25">
      <c r="A48" s="148"/>
      <c r="B48" s="151"/>
      <c r="C48" s="31" t="s">
        <v>56</v>
      </c>
      <c r="D48" s="16" t="s">
        <v>354</v>
      </c>
      <c r="E48" s="16" t="s">
        <v>599</v>
      </c>
      <c r="F48" s="16">
        <v>14</v>
      </c>
      <c r="G48" s="16" t="s">
        <v>571</v>
      </c>
      <c r="H48" s="16">
        <v>7</v>
      </c>
      <c r="I48" s="16">
        <f t="shared" si="1"/>
        <v>7</v>
      </c>
      <c r="J48" s="16" t="s">
        <v>591</v>
      </c>
      <c r="K48" s="16" t="s">
        <v>5</v>
      </c>
      <c r="L48" s="90">
        <v>-3.7406459999999999</v>
      </c>
      <c r="M48" s="121"/>
    </row>
    <row r="49" spans="1:13" ht="18" x14ac:dyDescent="0.25">
      <c r="A49" s="148"/>
      <c r="B49" s="151"/>
      <c r="C49" s="31" t="s">
        <v>81</v>
      </c>
      <c r="D49" s="16" t="s">
        <v>355</v>
      </c>
      <c r="E49" s="16" t="s">
        <v>599</v>
      </c>
      <c r="F49" s="16">
        <v>14</v>
      </c>
      <c r="G49" s="16" t="s">
        <v>577</v>
      </c>
      <c r="H49" s="16">
        <v>8</v>
      </c>
      <c r="I49" s="16">
        <f t="shared" si="1"/>
        <v>8</v>
      </c>
      <c r="J49" s="16" t="s">
        <v>584</v>
      </c>
      <c r="K49" s="16" t="s">
        <v>2</v>
      </c>
      <c r="L49" s="90">
        <v>-4.0877829999999999</v>
      </c>
      <c r="M49" s="143"/>
    </row>
    <row r="50" spans="1:13" ht="24.95" customHeight="1" x14ac:dyDescent="0.25">
      <c r="A50" s="148"/>
      <c r="B50" s="146"/>
      <c r="C50" s="36" t="s">
        <v>179</v>
      </c>
      <c r="D50" s="44" t="s">
        <v>356</v>
      </c>
      <c r="E50" s="44" t="s">
        <v>207</v>
      </c>
      <c r="F50" s="44">
        <v>4</v>
      </c>
      <c r="G50" s="44" t="s">
        <v>600</v>
      </c>
      <c r="H50" s="44">
        <v>6</v>
      </c>
      <c r="I50" s="44">
        <f t="shared" si="1"/>
        <v>6</v>
      </c>
      <c r="J50" s="44" t="s">
        <v>601</v>
      </c>
      <c r="K50" s="44" t="s">
        <v>2</v>
      </c>
      <c r="L50" s="72">
        <v>-2.1846670000000001</v>
      </c>
      <c r="M50" s="133">
        <v>1</v>
      </c>
    </row>
    <row r="51" spans="1:13" ht="24.95" customHeight="1" x14ac:dyDescent="0.25">
      <c r="A51" s="148"/>
      <c r="B51" s="146"/>
      <c r="C51" s="36" t="s">
        <v>178</v>
      </c>
      <c r="D51" s="44" t="s">
        <v>357</v>
      </c>
      <c r="E51" s="44" t="s">
        <v>206</v>
      </c>
      <c r="F51" s="44">
        <v>5</v>
      </c>
      <c r="G51" s="44" t="s">
        <v>600</v>
      </c>
      <c r="H51" s="44">
        <v>6</v>
      </c>
      <c r="I51" s="44">
        <f t="shared" si="1"/>
        <v>6</v>
      </c>
      <c r="J51" s="44" t="s">
        <v>602</v>
      </c>
      <c r="K51" s="44" t="s">
        <v>2</v>
      </c>
      <c r="L51" s="72">
        <v>-2.3584809999999994</v>
      </c>
      <c r="M51" s="134"/>
    </row>
    <row r="52" spans="1:13" ht="24.95" customHeight="1" x14ac:dyDescent="0.25">
      <c r="A52" s="148"/>
      <c r="B52" s="146"/>
      <c r="C52" s="36" t="s">
        <v>177</v>
      </c>
      <c r="D52" s="44" t="s">
        <v>358</v>
      </c>
      <c r="E52" s="44" t="s">
        <v>205</v>
      </c>
      <c r="F52" s="44">
        <v>6</v>
      </c>
      <c r="G52" s="44" t="s">
        <v>600</v>
      </c>
      <c r="H52" s="44">
        <v>6</v>
      </c>
      <c r="I52" s="44">
        <f t="shared" si="1"/>
        <v>6</v>
      </c>
      <c r="J52" s="44" t="s">
        <v>603</v>
      </c>
      <c r="K52" s="44" t="s">
        <v>2</v>
      </c>
      <c r="L52" s="72">
        <v>-2.5322949999999995</v>
      </c>
      <c r="M52" s="134"/>
    </row>
    <row r="53" spans="1:13" ht="24.95" customHeight="1" x14ac:dyDescent="0.25">
      <c r="A53" s="148"/>
      <c r="B53" s="146"/>
      <c r="C53" s="36" t="s">
        <v>176</v>
      </c>
      <c r="D53" s="44" t="s">
        <v>359</v>
      </c>
      <c r="E53" s="44" t="s">
        <v>204</v>
      </c>
      <c r="F53" s="44">
        <v>7</v>
      </c>
      <c r="G53" s="44" t="s">
        <v>600</v>
      </c>
      <c r="H53" s="44">
        <v>6</v>
      </c>
      <c r="I53" s="44">
        <f t="shared" si="1"/>
        <v>6</v>
      </c>
      <c r="J53" s="44" t="s">
        <v>604</v>
      </c>
      <c r="K53" s="44" t="s">
        <v>2</v>
      </c>
      <c r="L53" s="72">
        <v>-2.7056180000000003</v>
      </c>
      <c r="M53" s="134"/>
    </row>
    <row r="54" spans="1:13" ht="24.95" customHeight="1" x14ac:dyDescent="0.25">
      <c r="A54" s="148"/>
      <c r="B54" s="146"/>
      <c r="C54" s="36" t="s">
        <v>175</v>
      </c>
      <c r="D54" s="44" t="s">
        <v>360</v>
      </c>
      <c r="E54" s="44" t="s">
        <v>203</v>
      </c>
      <c r="F54" s="44">
        <v>8</v>
      </c>
      <c r="G54" s="44" t="s">
        <v>600</v>
      </c>
      <c r="H54" s="44">
        <v>6</v>
      </c>
      <c r="I54" s="44">
        <f t="shared" si="1"/>
        <v>6</v>
      </c>
      <c r="J54" s="44" t="s">
        <v>605</v>
      </c>
      <c r="K54" s="44" t="s">
        <v>2</v>
      </c>
      <c r="L54" s="72">
        <v>-2.8794319999999995</v>
      </c>
      <c r="M54" s="134"/>
    </row>
    <row r="55" spans="1:13" ht="24.95" customHeight="1" x14ac:dyDescent="0.25">
      <c r="A55" s="148"/>
      <c r="B55" s="146"/>
      <c r="C55" s="36" t="s">
        <v>174</v>
      </c>
      <c r="D55" s="44" t="s">
        <v>361</v>
      </c>
      <c r="E55" s="44" t="s">
        <v>202</v>
      </c>
      <c r="F55" s="44">
        <v>9</v>
      </c>
      <c r="G55" s="44" t="s">
        <v>600</v>
      </c>
      <c r="H55" s="44">
        <v>6</v>
      </c>
      <c r="I55" s="44">
        <f t="shared" si="1"/>
        <v>6</v>
      </c>
      <c r="J55" s="44" t="s">
        <v>606</v>
      </c>
      <c r="K55" s="44" t="s">
        <v>2</v>
      </c>
      <c r="L55" s="72">
        <v>-3.0527549999999994</v>
      </c>
      <c r="M55" s="134"/>
    </row>
    <row r="56" spans="1:13" ht="24.95" customHeight="1" x14ac:dyDescent="0.25">
      <c r="A56" s="148"/>
      <c r="B56" s="146"/>
      <c r="C56" s="36" t="s">
        <v>180</v>
      </c>
      <c r="D56" s="44" t="s">
        <v>362</v>
      </c>
      <c r="E56" s="44" t="s">
        <v>201</v>
      </c>
      <c r="F56" s="44">
        <v>10</v>
      </c>
      <c r="G56" s="44" t="s">
        <v>600</v>
      </c>
      <c r="H56" s="44">
        <v>6</v>
      </c>
      <c r="I56" s="44">
        <f t="shared" si="1"/>
        <v>6</v>
      </c>
      <c r="J56" s="44" t="s">
        <v>607</v>
      </c>
      <c r="K56" s="44" t="s">
        <v>2</v>
      </c>
      <c r="L56" s="72">
        <v>-3.2265690000000005</v>
      </c>
      <c r="M56" s="138"/>
    </row>
    <row r="57" spans="1:13" ht="27" customHeight="1" x14ac:dyDescent="0.25">
      <c r="A57" s="148"/>
      <c r="B57" s="151"/>
      <c r="C57" s="31" t="s">
        <v>191</v>
      </c>
      <c r="D57" s="16" t="s">
        <v>363</v>
      </c>
      <c r="E57" s="16" t="s">
        <v>207</v>
      </c>
      <c r="F57" s="16">
        <v>4</v>
      </c>
      <c r="G57" s="16" t="s">
        <v>577</v>
      </c>
      <c r="H57" s="16">
        <v>8</v>
      </c>
      <c r="I57" s="16">
        <f t="shared" si="1"/>
        <v>8</v>
      </c>
      <c r="J57" s="16" t="s">
        <v>576</v>
      </c>
      <c r="K57" s="16" t="s">
        <v>2</v>
      </c>
      <c r="L57" s="90">
        <v>-2.3520979999999998</v>
      </c>
      <c r="M57" s="142">
        <v>1</v>
      </c>
    </row>
    <row r="58" spans="1:13" ht="27" customHeight="1" x14ac:dyDescent="0.25">
      <c r="A58" s="148"/>
      <c r="B58" s="151"/>
      <c r="C58" s="31" t="s">
        <v>190</v>
      </c>
      <c r="D58" s="16" t="s">
        <v>364</v>
      </c>
      <c r="E58" s="16" t="s">
        <v>206</v>
      </c>
      <c r="F58" s="16">
        <v>5</v>
      </c>
      <c r="G58" s="16" t="s">
        <v>577</v>
      </c>
      <c r="H58" s="16">
        <v>8</v>
      </c>
      <c r="I58" s="16">
        <f t="shared" si="1"/>
        <v>8</v>
      </c>
      <c r="J58" s="16" t="s">
        <v>585</v>
      </c>
      <c r="K58" s="16" t="s">
        <v>2</v>
      </c>
      <c r="L58" s="90">
        <v>-2.525911999999999</v>
      </c>
      <c r="M58" s="121"/>
    </row>
    <row r="59" spans="1:13" ht="27" customHeight="1" x14ac:dyDescent="0.25">
      <c r="A59" s="148"/>
      <c r="B59" s="151"/>
      <c r="C59" s="31" t="s">
        <v>189</v>
      </c>
      <c r="D59" s="16" t="s">
        <v>365</v>
      </c>
      <c r="E59" s="16" t="s">
        <v>205</v>
      </c>
      <c r="F59" s="16">
        <v>6</v>
      </c>
      <c r="G59" s="16" t="s">
        <v>577</v>
      </c>
      <c r="H59" s="16">
        <v>8</v>
      </c>
      <c r="I59" s="16">
        <f t="shared" si="1"/>
        <v>8</v>
      </c>
      <c r="J59" s="16" t="s">
        <v>578</v>
      </c>
      <c r="K59" s="16" t="s">
        <v>2</v>
      </c>
      <c r="L59" s="90">
        <v>-2.6992349999999998</v>
      </c>
      <c r="M59" s="121"/>
    </row>
    <row r="60" spans="1:13" ht="27" customHeight="1" x14ac:dyDescent="0.25">
      <c r="A60" s="148"/>
      <c r="B60" s="151"/>
      <c r="C60" s="31" t="s">
        <v>188</v>
      </c>
      <c r="D60" s="16" t="s">
        <v>366</v>
      </c>
      <c r="E60" s="16" t="s">
        <v>204</v>
      </c>
      <c r="F60" s="16">
        <v>7</v>
      </c>
      <c r="G60" s="16" t="s">
        <v>577</v>
      </c>
      <c r="H60" s="16">
        <v>8</v>
      </c>
      <c r="I60" s="16">
        <f t="shared" si="1"/>
        <v>8</v>
      </c>
      <c r="J60" s="16" t="s">
        <v>586</v>
      </c>
      <c r="K60" s="16" t="s">
        <v>2</v>
      </c>
      <c r="L60" s="90">
        <v>-2.873049</v>
      </c>
      <c r="M60" s="121"/>
    </row>
    <row r="61" spans="1:13" ht="27" customHeight="1" x14ac:dyDescent="0.25">
      <c r="A61" s="148"/>
      <c r="B61" s="151"/>
      <c r="C61" s="31" t="s">
        <v>187</v>
      </c>
      <c r="D61" s="16" t="s">
        <v>367</v>
      </c>
      <c r="E61" s="16" t="s">
        <v>203</v>
      </c>
      <c r="F61" s="16">
        <v>8</v>
      </c>
      <c r="G61" s="16" t="s">
        <v>577</v>
      </c>
      <c r="H61" s="16">
        <v>8</v>
      </c>
      <c r="I61" s="16">
        <f t="shared" si="1"/>
        <v>8</v>
      </c>
      <c r="J61" s="16" t="s">
        <v>580</v>
      </c>
      <c r="K61" s="16" t="s">
        <v>2</v>
      </c>
      <c r="L61" s="90">
        <v>-3.0463719999999999</v>
      </c>
      <c r="M61" s="121"/>
    </row>
    <row r="62" spans="1:13" ht="27" customHeight="1" x14ac:dyDescent="0.25">
      <c r="A62" s="148"/>
      <c r="B62" s="151"/>
      <c r="C62" s="31" t="s">
        <v>186</v>
      </c>
      <c r="D62" s="16" t="s">
        <v>368</v>
      </c>
      <c r="E62" s="16" t="s">
        <v>202</v>
      </c>
      <c r="F62" s="16">
        <v>9</v>
      </c>
      <c r="G62" s="16" t="s">
        <v>577</v>
      </c>
      <c r="H62" s="16">
        <v>8</v>
      </c>
      <c r="I62" s="16">
        <f t="shared" si="1"/>
        <v>8</v>
      </c>
      <c r="J62" s="16" t="s">
        <v>587</v>
      </c>
      <c r="K62" s="16" t="s">
        <v>2</v>
      </c>
      <c r="L62" s="90">
        <v>-3.220186</v>
      </c>
      <c r="M62" s="121"/>
    </row>
    <row r="63" spans="1:13" ht="27" customHeight="1" x14ac:dyDescent="0.25">
      <c r="A63" s="148"/>
      <c r="B63" s="151"/>
      <c r="C63" s="31" t="s">
        <v>193</v>
      </c>
      <c r="D63" s="16" t="s">
        <v>369</v>
      </c>
      <c r="E63" s="16" t="s">
        <v>201</v>
      </c>
      <c r="F63" s="16">
        <v>10</v>
      </c>
      <c r="G63" s="16" t="s">
        <v>577</v>
      </c>
      <c r="H63" s="16">
        <v>8</v>
      </c>
      <c r="I63" s="16">
        <f t="shared" si="1"/>
        <v>8</v>
      </c>
      <c r="J63" s="16" t="s">
        <v>582</v>
      </c>
      <c r="K63" s="16" t="s">
        <v>2</v>
      </c>
      <c r="L63" s="90">
        <v>-3.3935089999999999</v>
      </c>
      <c r="M63" s="121"/>
    </row>
    <row r="64" spans="1:13" ht="27" customHeight="1" x14ac:dyDescent="0.25">
      <c r="A64" s="148"/>
      <c r="B64" s="151"/>
      <c r="C64" s="31" t="s">
        <v>192</v>
      </c>
      <c r="D64" s="16" t="s">
        <v>370</v>
      </c>
      <c r="E64" s="16" t="s">
        <v>596</v>
      </c>
      <c r="F64" s="16">
        <v>12</v>
      </c>
      <c r="G64" s="16" t="s">
        <v>577</v>
      </c>
      <c r="H64" s="16">
        <v>8</v>
      </c>
      <c r="I64" s="16">
        <f>H64</f>
        <v>8</v>
      </c>
      <c r="J64" s="16" t="s">
        <v>591</v>
      </c>
      <c r="K64" s="16" t="s">
        <v>2</v>
      </c>
      <c r="L64" s="90">
        <v>-3.7406459999999999</v>
      </c>
      <c r="M64" s="143"/>
    </row>
    <row r="65" spans="1:14" ht="121.5" customHeight="1" thickBot="1" x14ac:dyDescent="0.3">
      <c r="A65" s="149"/>
      <c r="B65" s="46"/>
      <c r="C65" s="46" t="s">
        <v>308</v>
      </c>
      <c r="D65" s="40" t="s">
        <v>304</v>
      </c>
      <c r="E65" s="41" t="s">
        <v>201</v>
      </c>
      <c r="F65" s="41">
        <v>10</v>
      </c>
      <c r="G65" s="41" t="s">
        <v>577</v>
      </c>
      <c r="H65" s="41">
        <v>8</v>
      </c>
      <c r="I65" s="41">
        <f t="shared" ref="I65" si="2">H65</f>
        <v>8</v>
      </c>
      <c r="J65" s="41" t="s">
        <v>582</v>
      </c>
      <c r="K65" s="41" t="s">
        <v>5</v>
      </c>
      <c r="L65" s="74">
        <v>-3.3935089999999999</v>
      </c>
      <c r="M65" s="64">
        <v>20</v>
      </c>
    </row>
    <row r="66" spans="1:14" ht="25.5" customHeight="1" x14ac:dyDescent="0.25">
      <c r="A66" s="155" t="s">
        <v>6</v>
      </c>
      <c r="B66" s="152"/>
      <c r="C66" s="34" t="s">
        <v>194</v>
      </c>
      <c r="D66" s="33" t="s">
        <v>371</v>
      </c>
      <c r="E66" s="33" t="s">
        <v>202</v>
      </c>
      <c r="F66" s="33">
        <v>9</v>
      </c>
      <c r="G66" s="33" t="s">
        <v>5</v>
      </c>
      <c r="H66" s="33">
        <v>0</v>
      </c>
      <c r="I66" s="33">
        <v>6</v>
      </c>
      <c r="J66" s="33" t="s">
        <v>608</v>
      </c>
      <c r="K66" s="33" t="s">
        <v>2</v>
      </c>
      <c r="L66" s="75">
        <v>-3.6635589999999993</v>
      </c>
      <c r="M66" s="131">
        <v>1</v>
      </c>
    </row>
    <row r="67" spans="1:14" ht="25.5" customHeight="1" x14ac:dyDescent="0.25">
      <c r="A67" s="156"/>
      <c r="B67" s="153"/>
      <c r="C67" s="52" t="s">
        <v>195</v>
      </c>
      <c r="D67" s="4" t="s">
        <v>372</v>
      </c>
      <c r="E67" s="6" t="s">
        <v>203</v>
      </c>
      <c r="F67" s="6">
        <v>8</v>
      </c>
      <c r="G67" s="6" t="s">
        <v>7</v>
      </c>
      <c r="H67" s="4">
        <v>0</v>
      </c>
      <c r="I67" s="4">
        <v>6</v>
      </c>
      <c r="J67" s="6" t="s">
        <v>609</v>
      </c>
      <c r="K67" s="6" t="s">
        <v>5</v>
      </c>
      <c r="L67" s="77">
        <v>-3.4897450000000001</v>
      </c>
      <c r="M67" s="137"/>
    </row>
    <row r="68" spans="1:14" ht="25.5" customHeight="1" x14ac:dyDescent="0.25">
      <c r="A68" s="156"/>
      <c r="B68" s="153"/>
      <c r="C68" s="8" t="s">
        <v>303</v>
      </c>
      <c r="D68" s="4" t="s">
        <v>373</v>
      </c>
      <c r="E68" s="4" t="s">
        <v>203</v>
      </c>
      <c r="F68" s="4">
        <v>8</v>
      </c>
      <c r="G68" s="4" t="s">
        <v>5</v>
      </c>
      <c r="H68" s="4">
        <v>0</v>
      </c>
      <c r="I68" s="4">
        <v>6</v>
      </c>
      <c r="J68" s="4" t="s">
        <v>610</v>
      </c>
      <c r="K68" s="4" t="s">
        <v>611</v>
      </c>
      <c r="L68" s="77">
        <v>-3.4897450000000001</v>
      </c>
      <c r="M68" s="137"/>
    </row>
    <row r="69" spans="1:14" ht="25.5" customHeight="1" x14ac:dyDescent="0.25">
      <c r="A69" s="156"/>
      <c r="B69" s="153"/>
      <c r="C69" s="52" t="s">
        <v>196</v>
      </c>
      <c r="D69" s="4" t="s">
        <v>374</v>
      </c>
      <c r="E69" s="6" t="s">
        <v>204</v>
      </c>
      <c r="F69" s="6">
        <v>7</v>
      </c>
      <c r="G69" s="6" t="s">
        <v>5</v>
      </c>
      <c r="H69" s="4">
        <v>0</v>
      </c>
      <c r="I69" s="4">
        <v>6</v>
      </c>
      <c r="J69" s="6" t="s">
        <v>612</v>
      </c>
      <c r="K69" s="6" t="s">
        <v>2</v>
      </c>
      <c r="L69" s="77">
        <v>-3.3164220000000002</v>
      </c>
      <c r="M69" s="137"/>
    </row>
    <row r="70" spans="1:14" ht="25.5" customHeight="1" x14ac:dyDescent="0.25">
      <c r="A70" s="156"/>
      <c r="B70" s="153"/>
      <c r="C70" s="8" t="s">
        <v>197</v>
      </c>
      <c r="D70" s="4" t="s">
        <v>375</v>
      </c>
      <c r="E70" s="4" t="s">
        <v>205</v>
      </c>
      <c r="F70" s="4">
        <v>6</v>
      </c>
      <c r="G70" s="4" t="s">
        <v>7</v>
      </c>
      <c r="H70" s="4">
        <v>0</v>
      </c>
      <c r="I70" s="4">
        <v>6</v>
      </c>
      <c r="J70" s="4" t="s">
        <v>613</v>
      </c>
      <c r="K70" s="4" t="s">
        <v>2</v>
      </c>
      <c r="L70" s="77">
        <v>-3.1426079999999992</v>
      </c>
      <c r="M70" s="137"/>
    </row>
    <row r="71" spans="1:14" ht="25.5" customHeight="1" x14ac:dyDescent="0.25">
      <c r="A71" s="156"/>
      <c r="B71" s="153"/>
      <c r="C71" s="52" t="s">
        <v>302</v>
      </c>
      <c r="D71" s="4" t="s">
        <v>376</v>
      </c>
      <c r="E71" s="6" t="s">
        <v>205</v>
      </c>
      <c r="F71" s="6">
        <v>6</v>
      </c>
      <c r="G71" s="6" t="s">
        <v>5</v>
      </c>
      <c r="H71" s="4">
        <v>0</v>
      </c>
      <c r="I71" s="4">
        <v>6</v>
      </c>
      <c r="J71" s="6" t="s">
        <v>614</v>
      </c>
      <c r="K71" s="6" t="s">
        <v>611</v>
      </c>
      <c r="L71" s="77">
        <v>-3.1426079999999992</v>
      </c>
      <c r="M71" s="137"/>
    </row>
    <row r="72" spans="1:14" ht="25.5" customHeight="1" x14ac:dyDescent="0.25">
      <c r="A72" s="156"/>
      <c r="B72" s="153"/>
      <c r="C72" s="8" t="s">
        <v>198</v>
      </c>
      <c r="D72" s="4" t="s">
        <v>377</v>
      </c>
      <c r="E72" s="4" t="s">
        <v>206</v>
      </c>
      <c r="F72" s="4">
        <v>5</v>
      </c>
      <c r="G72" s="4" t="s">
        <v>5</v>
      </c>
      <c r="H72" s="4">
        <v>0</v>
      </c>
      <c r="I72" s="4">
        <v>6</v>
      </c>
      <c r="J72" s="4" t="s">
        <v>615</v>
      </c>
      <c r="K72" s="4" t="s">
        <v>2</v>
      </c>
      <c r="L72" s="77">
        <v>-2.9692849999999993</v>
      </c>
      <c r="M72" s="137"/>
    </row>
    <row r="73" spans="1:14" ht="25.5" customHeight="1" x14ac:dyDescent="0.25">
      <c r="A73" s="156"/>
      <c r="B73" s="153"/>
      <c r="C73" s="52" t="s">
        <v>199</v>
      </c>
      <c r="D73" s="4" t="s">
        <v>378</v>
      </c>
      <c r="E73" s="6" t="s">
        <v>207</v>
      </c>
      <c r="F73" s="6">
        <v>4</v>
      </c>
      <c r="G73" s="6" t="s">
        <v>5</v>
      </c>
      <c r="H73" s="4">
        <v>0</v>
      </c>
      <c r="I73" s="4">
        <v>6</v>
      </c>
      <c r="J73" s="6" t="s">
        <v>616</v>
      </c>
      <c r="K73" s="6" t="s">
        <v>611</v>
      </c>
      <c r="L73" s="77">
        <v>-2.795471</v>
      </c>
      <c r="M73" s="137"/>
    </row>
    <row r="74" spans="1:14" ht="25.5" customHeight="1" thickBot="1" x14ac:dyDescent="0.3">
      <c r="A74" s="157"/>
      <c r="B74" s="154"/>
      <c r="C74" s="12" t="s">
        <v>200</v>
      </c>
      <c r="D74" s="11" t="s">
        <v>379</v>
      </c>
      <c r="E74" s="11" t="s">
        <v>201</v>
      </c>
      <c r="F74" s="11">
        <v>10</v>
      </c>
      <c r="G74" s="11" t="s">
        <v>5</v>
      </c>
      <c r="H74" s="11">
        <v>0</v>
      </c>
      <c r="I74" s="11">
        <v>6</v>
      </c>
      <c r="J74" s="11" t="s">
        <v>617</v>
      </c>
      <c r="K74" s="11" t="s">
        <v>611</v>
      </c>
      <c r="L74" s="79">
        <v>-3.8368819999999992</v>
      </c>
      <c r="M74" s="132"/>
    </row>
    <row r="75" spans="1:14" ht="24" customHeight="1" x14ac:dyDescent="0.25">
      <c r="A75" s="147" t="s">
        <v>12</v>
      </c>
      <c r="B75" s="150"/>
      <c r="C75" s="80" t="s">
        <v>35</v>
      </c>
      <c r="D75" s="23" t="s">
        <v>380</v>
      </c>
      <c r="E75" s="23" t="s">
        <v>202</v>
      </c>
      <c r="F75" s="23">
        <v>9</v>
      </c>
      <c r="G75" s="22" t="s">
        <v>618</v>
      </c>
      <c r="H75" s="23">
        <v>11</v>
      </c>
      <c r="I75" s="23">
        <f>H75+1</f>
        <v>12</v>
      </c>
      <c r="J75" s="21" t="s">
        <v>619</v>
      </c>
      <c r="K75" s="23" t="s">
        <v>5</v>
      </c>
      <c r="L75" s="89">
        <v>-6.385171999999999</v>
      </c>
      <c r="M75" s="144">
        <v>40</v>
      </c>
    </row>
    <row r="76" spans="1:14" ht="24" customHeight="1" x14ac:dyDescent="0.25">
      <c r="A76" s="148"/>
      <c r="B76" s="151"/>
      <c r="C76" s="31" t="s">
        <v>36</v>
      </c>
      <c r="D76" s="16" t="s">
        <v>381</v>
      </c>
      <c r="E76" s="16" t="s">
        <v>207</v>
      </c>
      <c r="F76" s="16">
        <v>4</v>
      </c>
      <c r="G76" s="24" t="s">
        <v>618</v>
      </c>
      <c r="H76" s="16">
        <v>11</v>
      </c>
      <c r="I76" s="26">
        <f t="shared" ref="I76:I79" si="3">H76+1</f>
        <v>12</v>
      </c>
      <c r="J76" s="16" t="s">
        <v>620</v>
      </c>
      <c r="K76" s="16" t="s">
        <v>5</v>
      </c>
      <c r="L76" s="90">
        <v>-6.2118490000000008</v>
      </c>
      <c r="M76" s="140"/>
    </row>
    <row r="77" spans="1:14" ht="24" customHeight="1" x14ac:dyDescent="0.25">
      <c r="A77" s="148"/>
      <c r="B77" s="151"/>
      <c r="C77" s="81" t="s">
        <v>37</v>
      </c>
      <c r="D77" s="26" t="s">
        <v>382</v>
      </c>
      <c r="E77" s="26" t="s">
        <v>207</v>
      </c>
      <c r="F77" s="26">
        <v>4</v>
      </c>
      <c r="G77" s="25" t="s">
        <v>579</v>
      </c>
      <c r="H77" s="26">
        <v>9</v>
      </c>
      <c r="I77" s="26">
        <f t="shared" si="3"/>
        <v>10</v>
      </c>
      <c r="J77" s="16" t="s">
        <v>621</v>
      </c>
      <c r="K77" s="26" t="s">
        <v>5</v>
      </c>
      <c r="L77" s="90">
        <v>-5.517574999999999</v>
      </c>
      <c r="M77" s="140"/>
    </row>
    <row r="78" spans="1:14" ht="24" customHeight="1" x14ac:dyDescent="0.25">
      <c r="A78" s="148"/>
      <c r="B78" s="151"/>
      <c r="C78" s="31" t="s">
        <v>38</v>
      </c>
      <c r="D78" s="16" t="s">
        <v>383</v>
      </c>
      <c r="E78" s="16" t="s">
        <v>622</v>
      </c>
      <c r="F78" s="16">
        <v>3</v>
      </c>
      <c r="G78" s="24" t="s">
        <v>618</v>
      </c>
      <c r="H78" s="16">
        <v>11</v>
      </c>
      <c r="I78" s="26">
        <f t="shared" si="3"/>
        <v>12</v>
      </c>
      <c r="J78" s="16" t="s">
        <v>623</v>
      </c>
      <c r="K78" s="16" t="s">
        <v>5</v>
      </c>
      <c r="L78" s="90">
        <v>-6.0380350000000007</v>
      </c>
      <c r="M78" s="140"/>
    </row>
    <row r="79" spans="1:14" ht="24" customHeight="1" thickBot="1" x14ac:dyDescent="0.3">
      <c r="A79" s="149"/>
      <c r="B79" s="158"/>
      <c r="C79" s="83" t="s">
        <v>39</v>
      </c>
      <c r="D79" s="29" t="s">
        <v>384</v>
      </c>
      <c r="E79" s="29" t="s">
        <v>624</v>
      </c>
      <c r="F79" s="29">
        <v>2</v>
      </c>
      <c r="G79" s="28" t="s">
        <v>618</v>
      </c>
      <c r="H79" s="29">
        <v>11</v>
      </c>
      <c r="I79" s="29">
        <f t="shared" si="3"/>
        <v>12</v>
      </c>
      <c r="J79" s="18" t="s">
        <v>625</v>
      </c>
      <c r="K79" s="29" t="s">
        <v>5</v>
      </c>
      <c r="L79" s="92">
        <v>-5.864711999999999</v>
      </c>
      <c r="M79" s="145"/>
    </row>
    <row r="80" spans="1:14" ht="137.44999999999999" customHeight="1" x14ac:dyDescent="0.25">
      <c r="A80" s="155" t="s">
        <v>11</v>
      </c>
      <c r="B80" s="34"/>
      <c r="C80" s="34" t="s">
        <v>82</v>
      </c>
      <c r="D80" s="33" t="s">
        <v>385</v>
      </c>
      <c r="E80" s="33" t="s">
        <v>626</v>
      </c>
      <c r="F80" s="33">
        <v>4</v>
      </c>
      <c r="G80" s="35" t="s">
        <v>618</v>
      </c>
      <c r="H80" s="33">
        <v>11</v>
      </c>
      <c r="I80" s="35">
        <f>H80+3</f>
        <v>14</v>
      </c>
      <c r="J80" s="33" t="s">
        <v>627</v>
      </c>
      <c r="K80" s="33" t="s">
        <v>5</v>
      </c>
      <c r="L80" s="75">
        <v>-4.2606149999999996</v>
      </c>
      <c r="M80" s="76">
        <v>37</v>
      </c>
      <c r="N80" s="3"/>
    </row>
    <row r="81" spans="1:14" ht="54.95" customHeight="1" x14ac:dyDescent="0.25">
      <c r="A81" s="156"/>
      <c r="B81" s="146"/>
      <c r="C81" s="84" t="s">
        <v>83</v>
      </c>
      <c r="D81" s="38" t="s">
        <v>386</v>
      </c>
      <c r="E81" s="44" t="s">
        <v>626</v>
      </c>
      <c r="F81" s="44">
        <v>4</v>
      </c>
      <c r="G81" s="37" t="s">
        <v>628</v>
      </c>
      <c r="H81" s="38">
        <v>14</v>
      </c>
      <c r="I81" s="37">
        <v>14</v>
      </c>
      <c r="J81" s="44" t="s">
        <v>629</v>
      </c>
      <c r="K81" s="38" t="s">
        <v>5</v>
      </c>
      <c r="L81" s="85">
        <v>-2.6079089999999994</v>
      </c>
      <c r="M81" s="126">
        <v>37</v>
      </c>
      <c r="N81" s="3"/>
    </row>
    <row r="82" spans="1:14" ht="54.95" customHeight="1" thickBot="1" x14ac:dyDescent="0.3">
      <c r="A82" s="157"/>
      <c r="B82" s="159"/>
      <c r="C82" s="46" t="s">
        <v>84</v>
      </c>
      <c r="D82" s="41" t="s">
        <v>387</v>
      </c>
      <c r="E82" s="41" t="s">
        <v>626</v>
      </c>
      <c r="F82" s="41">
        <v>4</v>
      </c>
      <c r="G82" s="40" t="s">
        <v>583</v>
      </c>
      <c r="H82" s="41">
        <v>12</v>
      </c>
      <c r="I82" s="40">
        <v>12</v>
      </c>
      <c r="J82" s="41" t="s">
        <v>630</v>
      </c>
      <c r="K82" s="41" t="s">
        <v>5</v>
      </c>
      <c r="L82" s="87">
        <v>-3.3026739999999997</v>
      </c>
      <c r="M82" s="136"/>
      <c r="N82" s="3"/>
    </row>
    <row r="83" spans="1:14" ht="21" customHeight="1" x14ac:dyDescent="0.25">
      <c r="A83" s="147" t="s">
        <v>9</v>
      </c>
      <c r="B83" s="150"/>
      <c r="C83" s="19" t="s">
        <v>86</v>
      </c>
      <c r="D83" s="21" t="s">
        <v>388</v>
      </c>
      <c r="E83" s="21" t="s">
        <v>205</v>
      </c>
      <c r="F83" s="21">
        <v>6</v>
      </c>
      <c r="G83" s="30" t="s">
        <v>631</v>
      </c>
      <c r="H83" s="21">
        <v>8</v>
      </c>
      <c r="I83" s="21">
        <f>H83+2</f>
        <v>10</v>
      </c>
      <c r="J83" s="21" t="s">
        <v>632</v>
      </c>
      <c r="K83" s="21" t="s">
        <v>2</v>
      </c>
      <c r="L83" s="89">
        <v>-14.889782999999998</v>
      </c>
      <c r="M83" s="120">
        <v>34</v>
      </c>
    </row>
    <row r="84" spans="1:14" ht="21" customHeight="1" x14ac:dyDescent="0.25">
      <c r="A84" s="148"/>
      <c r="B84" s="151"/>
      <c r="C84" s="31" t="s">
        <v>87</v>
      </c>
      <c r="D84" s="16" t="s">
        <v>389</v>
      </c>
      <c r="E84" s="16" t="s">
        <v>207</v>
      </c>
      <c r="F84" s="16">
        <v>4</v>
      </c>
      <c r="G84" s="24" t="s">
        <v>631</v>
      </c>
      <c r="H84" s="16">
        <v>8</v>
      </c>
      <c r="I84" s="16">
        <f t="shared" ref="I84:I88" si="4">H84+2</f>
        <v>10</v>
      </c>
      <c r="J84" s="16" t="s">
        <v>633</v>
      </c>
      <c r="K84" s="16" t="s">
        <v>2</v>
      </c>
      <c r="L84" s="90">
        <v>-14.542646000000001</v>
      </c>
      <c r="M84" s="121"/>
    </row>
    <row r="85" spans="1:14" ht="21" customHeight="1" x14ac:dyDescent="0.25">
      <c r="A85" s="148"/>
      <c r="B85" s="151"/>
      <c r="C85" s="31" t="s">
        <v>88</v>
      </c>
      <c r="D85" s="16" t="s">
        <v>390</v>
      </c>
      <c r="E85" s="16" t="s">
        <v>207</v>
      </c>
      <c r="F85" s="16">
        <v>4</v>
      </c>
      <c r="G85" s="24" t="s">
        <v>631</v>
      </c>
      <c r="H85" s="16">
        <v>8</v>
      </c>
      <c r="I85" s="16">
        <f t="shared" si="4"/>
        <v>10</v>
      </c>
      <c r="J85" s="16" t="s">
        <v>634</v>
      </c>
      <c r="K85" s="16" t="s">
        <v>2</v>
      </c>
      <c r="L85" s="90">
        <v>-14.542646000000001</v>
      </c>
      <c r="M85" s="121"/>
    </row>
    <row r="86" spans="1:14" ht="21" customHeight="1" x14ac:dyDescent="0.25">
      <c r="A86" s="148"/>
      <c r="B86" s="151"/>
      <c r="C86" s="31" t="s">
        <v>89</v>
      </c>
      <c r="D86" s="16" t="s">
        <v>391</v>
      </c>
      <c r="E86" s="16" t="s">
        <v>207</v>
      </c>
      <c r="F86" s="16">
        <v>4</v>
      </c>
      <c r="G86" s="24" t="s">
        <v>631</v>
      </c>
      <c r="H86" s="16">
        <v>8</v>
      </c>
      <c r="I86" s="16">
        <f t="shared" si="4"/>
        <v>10</v>
      </c>
      <c r="J86" s="16" t="s">
        <v>635</v>
      </c>
      <c r="K86" s="16" t="s">
        <v>2</v>
      </c>
      <c r="L86" s="90">
        <v>-14.542646000000001</v>
      </c>
      <c r="M86" s="121"/>
    </row>
    <row r="87" spans="1:14" ht="21" customHeight="1" x14ac:dyDescent="0.25">
      <c r="A87" s="148"/>
      <c r="B87" s="151"/>
      <c r="C87" s="31" t="s">
        <v>85</v>
      </c>
      <c r="D87" s="16" t="s">
        <v>392</v>
      </c>
      <c r="E87" s="16" t="s">
        <v>622</v>
      </c>
      <c r="F87" s="16">
        <v>3</v>
      </c>
      <c r="G87" s="24" t="s">
        <v>631</v>
      </c>
      <c r="H87" s="16">
        <v>8</v>
      </c>
      <c r="I87" s="16">
        <f t="shared" si="4"/>
        <v>10</v>
      </c>
      <c r="J87" s="16" t="s">
        <v>636</v>
      </c>
      <c r="K87" s="16" t="s">
        <v>2</v>
      </c>
      <c r="L87" s="90">
        <v>-14.369323000000001</v>
      </c>
      <c r="M87" s="121"/>
    </row>
    <row r="88" spans="1:14" ht="21" customHeight="1" x14ac:dyDescent="0.25">
      <c r="A88" s="148"/>
      <c r="B88" s="151"/>
      <c r="C88" s="31" t="s">
        <v>90</v>
      </c>
      <c r="D88" s="16" t="s">
        <v>393</v>
      </c>
      <c r="E88" s="16" t="s">
        <v>624</v>
      </c>
      <c r="F88" s="16">
        <v>2</v>
      </c>
      <c r="G88" s="24" t="s">
        <v>631</v>
      </c>
      <c r="H88" s="16">
        <v>8</v>
      </c>
      <c r="I88" s="16">
        <f t="shared" si="4"/>
        <v>10</v>
      </c>
      <c r="J88" s="16" t="s">
        <v>637</v>
      </c>
      <c r="K88" s="16" t="s">
        <v>2</v>
      </c>
      <c r="L88" s="90">
        <v>-14.195509000000001</v>
      </c>
      <c r="M88" s="143"/>
    </row>
    <row r="89" spans="1:14" ht="127.5" customHeight="1" x14ac:dyDescent="0.25">
      <c r="A89" s="148"/>
      <c r="B89" s="43"/>
      <c r="C89" s="36" t="s">
        <v>819</v>
      </c>
      <c r="D89" s="44" t="s">
        <v>394</v>
      </c>
      <c r="E89" s="44" t="s">
        <v>207</v>
      </c>
      <c r="F89" s="44">
        <v>4</v>
      </c>
      <c r="G89" s="65" t="s">
        <v>631</v>
      </c>
      <c r="H89" s="44">
        <v>8</v>
      </c>
      <c r="I89" s="44">
        <v>8</v>
      </c>
      <c r="J89" s="44" t="s">
        <v>638</v>
      </c>
      <c r="K89" s="44" t="s">
        <v>2</v>
      </c>
      <c r="L89" s="72">
        <v>-14.195509000000001</v>
      </c>
      <c r="M89" s="73">
        <v>34</v>
      </c>
    </row>
    <row r="90" spans="1:14" ht="159.6" customHeight="1" x14ac:dyDescent="0.25">
      <c r="A90" s="148"/>
      <c r="B90" s="31"/>
      <c r="C90" s="31" t="s">
        <v>820</v>
      </c>
      <c r="D90" s="16" t="s">
        <v>395</v>
      </c>
      <c r="E90" s="26" t="s">
        <v>207</v>
      </c>
      <c r="F90" s="26">
        <v>4</v>
      </c>
      <c r="G90" s="24" t="s">
        <v>631</v>
      </c>
      <c r="H90" s="26">
        <v>8</v>
      </c>
      <c r="I90" s="26">
        <v>11</v>
      </c>
      <c r="J90" s="16" t="s">
        <v>632</v>
      </c>
      <c r="K90" s="26" t="s">
        <v>2</v>
      </c>
      <c r="L90" s="90">
        <v>-14.871124999999999</v>
      </c>
      <c r="M90" s="71">
        <v>34</v>
      </c>
    </row>
    <row r="91" spans="1:14" ht="50.1" customHeight="1" x14ac:dyDescent="0.25">
      <c r="A91" s="148"/>
      <c r="B91" s="163"/>
      <c r="C91" s="84" t="s">
        <v>91</v>
      </c>
      <c r="D91" s="44" t="s">
        <v>396</v>
      </c>
      <c r="E91" s="38" t="s">
        <v>639</v>
      </c>
      <c r="F91" s="38">
        <v>12</v>
      </c>
      <c r="G91" s="38" t="s">
        <v>583</v>
      </c>
      <c r="H91" s="38">
        <v>12</v>
      </c>
      <c r="I91" s="38">
        <v>12</v>
      </c>
      <c r="J91" s="38" t="s">
        <v>640</v>
      </c>
      <c r="K91" s="38" t="s">
        <v>27</v>
      </c>
      <c r="L91" s="72">
        <v>-6.6463839999999994</v>
      </c>
      <c r="M91" s="133">
        <v>45</v>
      </c>
    </row>
    <row r="92" spans="1:14" ht="50.1" customHeight="1" x14ac:dyDescent="0.25">
      <c r="A92" s="148"/>
      <c r="B92" s="163"/>
      <c r="C92" s="36" t="s">
        <v>92</v>
      </c>
      <c r="D92" s="44" t="s">
        <v>397</v>
      </c>
      <c r="E92" s="44" t="s">
        <v>641</v>
      </c>
      <c r="F92" s="44">
        <v>12</v>
      </c>
      <c r="G92" s="44" t="s">
        <v>583</v>
      </c>
      <c r="H92" s="44">
        <v>12</v>
      </c>
      <c r="I92" s="44">
        <v>12</v>
      </c>
      <c r="J92" s="44" t="s">
        <v>642</v>
      </c>
      <c r="K92" s="44" t="s">
        <v>27</v>
      </c>
      <c r="L92" s="72">
        <v>-7.894997</v>
      </c>
      <c r="M92" s="138"/>
    </row>
    <row r="93" spans="1:14" ht="40.5" customHeight="1" x14ac:dyDescent="0.25">
      <c r="A93" s="148"/>
      <c r="B93" s="151"/>
      <c r="C93" s="81" t="s">
        <v>94</v>
      </c>
      <c r="D93" s="16" t="s">
        <v>398</v>
      </c>
      <c r="E93" s="26" t="s">
        <v>643</v>
      </c>
      <c r="F93" s="26">
        <v>6</v>
      </c>
      <c r="G93" s="26" t="s">
        <v>644</v>
      </c>
      <c r="H93" s="26">
        <v>14</v>
      </c>
      <c r="I93" s="26">
        <v>14</v>
      </c>
      <c r="J93" s="26" t="s">
        <v>645</v>
      </c>
      <c r="K93" s="26" t="s">
        <v>27</v>
      </c>
      <c r="L93" s="90">
        <v>-11.331997000000001</v>
      </c>
      <c r="M93" s="142">
        <v>45</v>
      </c>
    </row>
    <row r="94" spans="1:14" ht="40.5" customHeight="1" x14ac:dyDescent="0.25">
      <c r="A94" s="148"/>
      <c r="B94" s="151"/>
      <c r="C94" s="31" t="s">
        <v>93</v>
      </c>
      <c r="D94" s="16" t="s">
        <v>399</v>
      </c>
      <c r="E94" s="16" t="s">
        <v>646</v>
      </c>
      <c r="F94" s="16">
        <v>12</v>
      </c>
      <c r="G94" s="16" t="s">
        <v>644</v>
      </c>
      <c r="H94" s="16">
        <v>14</v>
      </c>
      <c r="I94" s="16">
        <v>14</v>
      </c>
      <c r="J94" s="16" t="s">
        <v>647</v>
      </c>
      <c r="K94" s="16" t="s">
        <v>27</v>
      </c>
      <c r="L94" s="90">
        <v>-12.373899000000002</v>
      </c>
      <c r="M94" s="143"/>
    </row>
    <row r="95" spans="1:14" ht="23.45" customHeight="1" x14ac:dyDescent="0.25">
      <c r="A95" s="148"/>
      <c r="B95" s="146"/>
      <c r="C95" s="84" t="s">
        <v>95</v>
      </c>
      <c r="D95" s="44" t="s">
        <v>398</v>
      </c>
      <c r="E95" s="38" t="s">
        <v>643</v>
      </c>
      <c r="F95" s="38">
        <v>6</v>
      </c>
      <c r="G95" s="38" t="s">
        <v>648</v>
      </c>
      <c r="H95" s="38">
        <v>15</v>
      </c>
      <c r="I95" s="38">
        <v>15</v>
      </c>
      <c r="J95" s="38" t="s">
        <v>649</v>
      </c>
      <c r="K95" s="38" t="s">
        <v>27</v>
      </c>
      <c r="L95" s="72">
        <v>-9.9606339999999989</v>
      </c>
      <c r="M95" s="133">
        <v>45</v>
      </c>
    </row>
    <row r="96" spans="1:14" ht="23.45" customHeight="1" x14ac:dyDescent="0.25">
      <c r="A96" s="148"/>
      <c r="B96" s="146"/>
      <c r="C96" s="36" t="s">
        <v>96</v>
      </c>
      <c r="D96" s="44" t="s">
        <v>400</v>
      </c>
      <c r="E96" s="44" t="s">
        <v>646</v>
      </c>
      <c r="F96" s="44">
        <v>12</v>
      </c>
      <c r="G96" s="44" t="s">
        <v>648</v>
      </c>
      <c r="H96" s="44">
        <v>15</v>
      </c>
      <c r="I96" s="44">
        <v>15</v>
      </c>
      <c r="J96" s="44" t="s">
        <v>650</v>
      </c>
      <c r="K96" s="44" t="s">
        <v>27</v>
      </c>
      <c r="L96" s="72">
        <v>-11.002535999999999</v>
      </c>
      <c r="M96" s="134"/>
    </row>
    <row r="97" spans="1:13" ht="23.45" customHeight="1" x14ac:dyDescent="0.25">
      <c r="A97" s="148"/>
      <c r="B97" s="146"/>
      <c r="C97" s="84" t="s">
        <v>97</v>
      </c>
      <c r="D97" s="44" t="s">
        <v>401</v>
      </c>
      <c r="E97" s="38" t="s">
        <v>643</v>
      </c>
      <c r="F97" s="38">
        <v>6</v>
      </c>
      <c r="G97" s="38" t="s">
        <v>651</v>
      </c>
      <c r="H97" s="38">
        <v>14</v>
      </c>
      <c r="I97" s="38">
        <v>14</v>
      </c>
      <c r="J97" s="38" t="s">
        <v>652</v>
      </c>
      <c r="K97" s="38" t="s">
        <v>27</v>
      </c>
      <c r="L97" s="72">
        <v>-12.110723</v>
      </c>
      <c r="M97" s="134"/>
    </row>
    <row r="98" spans="1:13" ht="23.45" customHeight="1" thickBot="1" x14ac:dyDescent="0.3">
      <c r="A98" s="149"/>
      <c r="B98" s="159"/>
      <c r="C98" s="46" t="s">
        <v>98</v>
      </c>
      <c r="D98" s="41" t="s">
        <v>402</v>
      </c>
      <c r="E98" s="41" t="s">
        <v>643</v>
      </c>
      <c r="F98" s="41">
        <v>6</v>
      </c>
      <c r="G98" s="41" t="s">
        <v>653</v>
      </c>
      <c r="H98" s="41">
        <v>14</v>
      </c>
      <c r="I98" s="41">
        <v>14</v>
      </c>
      <c r="J98" s="41" t="s">
        <v>654</v>
      </c>
      <c r="K98" s="41" t="s">
        <v>27</v>
      </c>
      <c r="L98" s="74">
        <v>-14.607948999999998</v>
      </c>
      <c r="M98" s="135"/>
    </row>
    <row r="99" spans="1:13" ht="135.94999999999999" customHeight="1" x14ac:dyDescent="0.25">
      <c r="A99" s="160" t="s">
        <v>15</v>
      </c>
      <c r="B99" s="32"/>
      <c r="C99" s="51" t="s">
        <v>101</v>
      </c>
      <c r="D99" s="33" t="s">
        <v>403</v>
      </c>
      <c r="E99" s="42" t="s">
        <v>655</v>
      </c>
      <c r="F99" s="42">
        <v>1</v>
      </c>
      <c r="G99" s="42" t="s">
        <v>583</v>
      </c>
      <c r="H99" s="42">
        <v>12</v>
      </c>
      <c r="I99" s="42">
        <v>12</v>
      </c>
      <c r="J99" s="33" t="s">
        <v>656</v>
      </c>
      <c r="K99" s="42" t="s">
        <v>5</v>
      </c>
      <c r="L99" s="75">
        <v>-3.6331169999999995</v>
      </c>
      <c r="M99" s="76">
        <v>46</v>
      </c>
    </row>
    <row r="100" spans="1:13" ht="94.5" customHeight="1" x14ac:dyDescent="0.25">
      <c r="A100" s="161"/>
      <c r="B100" s="146"/>
      <c r="C100" s="36" t="s">
        <v>100</v>
      </c>
      <c r="D100" s="44" t="s">
        <v>404</v>
      </c>
      <c r="E100" s="44" t="s">
        <v>655</v>
      </c>
      <c r="F100" s="44">
        <v>1</v>
      </c>
      <c r="G100" s="44" t="s">
        <v>657</v>
      </c>
      <c r="H100" s="44">
        <v>16</v>
      </c>
      <c r="I100" s="44">
        <v>16</v>
      </c>
      <c r="J100" s="44" t="s">
        <v>658</v>
      </c>
      <c r="K100" s="44" t="s">
        <v>5</v>
      </c>
      <c r="L100" s="72">
        <v>-6.6743710000000007</v>
      </c>
      <c r="M100" s="133">
        <v>46</v>
      </c>
    </row>
    <row r="101" spans="1:13" ht="94.5" customHeight="1" thickBot="1" x14ac:dyDescent="0.3">
      <c r="A101" s="162"/>
      <c r="B101" s="159"/>
      <c r="C101" s="91" t="s">
        <v>99</v>
      </c>
      <c r="D101" s="41" t="s">
        <v>405</v>
      </c>
      <c r="E101" s="45" t="s">
        <v>655</v>
      </c>
      <c r="F101" s="45">
        <v>1</v>
      </c>
      <c r="G101" s="45" t="s">
        <v>628</v>
      </c>
      <c r="H101" s="45">
        <v>14</v>
      </c>
      <c r="I101" s="45">
        <v>14</v>
      </c>
      <c r="J101" s="41" t="s">
        <v>659</v>
      </c>
      <c r="K101" s="45" t="s">
        <v>5</v>
      </c>
      <c r="L101" s="74">
        <v>-5.9800969999999989</v>
      </c>
      <c r="M101" s="135"/>
    </row>
    <row r="102" spans="1:13" ht="22.5" customHeight="1" x14ac:dyDescent="0.25">
      <c r="A102" s="147" t="s">
        <v>16</v>
      </c>
      <c r="B102" s="150"/>
      <c r="C102" s="80" t="s">
        <v>132</v>
      </c>
      <c r="D102" s="21" t="s">
        <v>406</v>
      </c>
      <c r="E102" s="23" t="s">
        <v>660</v>
      </c>
      <c r="F102" s="23">
        <v>2</v>
      </c>
      <c r="G102" s="23" t="s">
        <v>577</v>
      </c>
      <c r="H102" s="23">
        <v>8</v>
      </c>
      <c r="I102" s="23">
        <f t="shared" ref="I102:I110" si="5">H102+3</f>
        <v>11</v>
      </c>
      <c r="J102" s="21" t="s">
        <v>661</v>
      </c>
      <c r="K102" s="23" t="s">
        <v>2</v>
      </c>
      <c r="L102" s="89">
        <v>-2.8190390000000001</v>
      </c>
      <c r="M102" s="120">
        <v>35</v>
      </c>
    </row>
    <row r="103" spans="1:13" ht="22.5" customHeight="1" x14ac:dyDescent="0.25">
      <c r="A103" s="148"/>
      <c r="B103" s="151"/>
      <c r="C103" s="31" t="s">
        <v>128</v>
      </c>
      <c r="D103" s="26" t="s">
        <v>407</v>
      </c>
      <c r="E103" s="16" t="s">
        <v>660</v>
      </c>
      <c r="F103" s="16">
        <v>2</v>
      </c>
      <c r="G103" s="16" t="s">
        <v>581</v>
      </c>
      <c r="H103" s="16">
        <v>10</v>
      </c>
      <c r="I103" s="26">
        <f t="shared" si="5"/>
        <v>13</v>
      </c>
      <c r="J103" s="16" t="s">
        <v>662</v>
      </c>
      <c r="K103" s="16" t="s">
        <v>2</v>
      </c>
      <c r="L103" s="90">
        <v>-3.5133130000000001</v>
      </c>
      <c r="M103" s="121"/>
    </row>
    <row r="104" spans="1:13" ht="22.5" customHeight="1" x14ac:dyDescent="0.25">
      <c r="A104" s="148"/>
      <c r="B104" s="151"/>
      <c r="C104" s="81" t="s">
        <v>129</v>
      </c>
      <c r="D104" s="16" t="s">
        <v>408</v>
      </c>
      <c r="E104" s="26" t="s">
        <v>660</v>
      </c>
      <c r="F104" s="26">
        <v>2</v>
      </c>
      <c r="G104" s="26" t="s">
        <v>583</v>
      </c>
      <c r="H104" s="26">
        <v>12</v>
      </c>
      <c r="I104" s="26">
        <f t="shared" si="5"/>
        <v>15</v>
      </c>
      <c r="J104" s="16" t="s">
        <v>663</v>
      </c>
      <c r="K104" s="26" t="s">
        <v>2</v>
      </c>
      <c r="L104" s="90">
        <v>-4.2075870000000002</v>
      </c>
      <c r="M104" s="121"/>
    </row>
    <row r="105" spans="1:13" ht="22.5" customHeight="1" x14ac:dyDescent="0.25">
      <c r="A105" s="148"/>
      <c r="B105" s="151"/>
      <c r="C105" s="31" t="s">
        <v>130</v>
      </c>
      <c r="D105" s="26" t="s">
        <v>409</v>
      </c>
      <c r="E105" s="16" t="s">
        <v>660</v>
      </c>
      <c r="F105" s="16">
        <v>2</v>
      </c>
      <c r="G105" s="16" t="s">
        <v>628</v>
      </c>
      <c r="H105" s="16">
        <v>14</v>
      </c>
      <c r="I105" s="26">
        <f t="shared" si="5"/>
        <v>17</v>
      </c>
      <c r="J105" s="16" t="s">
        <v>664</v>
      </c>
      <c r="K105" s="16" t="s">
        <v>2</v>
      </c>
      <c r="L105" s="90">
        <v>-4.9023519999999987</v>
      </c>
      <c r="M105" s="121"/>
    </row>
    <row r="106" spans="1:13" ht="22.5" customHeight="1" x14ac:dyDescent="0.25">
      <c r="A106" s="148"/>
      <c r="B106" s="151"/>
      <c r="C106" s="81" t="s">
        <v>135</v>
      </c>
      <c r="D106" s="16" t="s">
        <v>410</v>
      </c>
      <c r="E106" s="26" t="s">
        <v>665</v>
      </c>
      <c r="F106" s="26">
        <v>3</v>
      </c>
      <c r="G106" s="26" t="s">
        <v>569</v>
      </c>
      <c r="H106" s="26">
        <v>6</v>
      </c>
      <c r="I106" s="26">
        <f t="shared" si="5"/>
        <v>9</v>
      </c>
      <c r="J106" s="16" t="s">
        <v>666</v>
      </c>
      <c r="K106" s="26" t="s">
        <v>2</v>
      </c>
      <c r="L106" s="90">
        <v>-2.2980879999999999</v>
      </c>
      <c r="M106" s="121"/>
    </row>
    <row r="107" spans="1:13" ht="22.5" customHeight="1" x14ac:dyDescent="0.25">
      <c r="A107" s="148"/>
      <c r="B107" s="151"/>
      <c r="C107" s="31" t="s">
        <v>131</v>
      </c>
      <c r="D107" s="26" t="s">
        <v>411</v>
      </c>
      <c r="E107" s="16" t="s">
        <v>665</v>
      </c>
      <c r="F107" s="16">
        <v>3</v>
      </c>
      <c r="G107" s="16" t="s">
        <v>577</v>
      </c>
      <c r="H107" s="16">
        <v>8</v>
      </c>
      <c r="I107" s="26">
        <f t="shared" si="5"/>
        <v>11</v>
      </c>
      <c r="J107" s="16" t="s">
        <v>667</v>
      </c>
      <c r="K107" s="16" t="s">
        <v>2</v>
      </c>
      <c r="L107" s="90">
        <v>-2.9928529999999993</v>
      </c>
      <c r="M107" s="121"/>
    </row>
    <row r="108" spans="1:13" ht="22.5" customHeight="1" x14ac:dyDescent="0.25">
      <c r="A108" s="148"/>
      <c r="B108" s="151"/>
      <c r="C108" s="81" t="s">
        <v>133</v>
      </c>
      <c r="D108" s="16" t="s">
        <v>412</v>
      </c>
      <c r="E108" s="26" t="s">
        <v>665</v>
      </c>
      <c r="F108" s="26">
        <v>3</v>
      </c>
      <c r="G108" s="26" t="s">
        <v>581</v>
      </c>
      <c r="H108" s="26">
        <v>10</v>
      </c>
      <c r="I108" s="26">
        <f t="shared" si="5"/>
        <v>13</v>
      </c>
      <c r="J108" s="16" t="s">
        <v>668</v>
      </c>
      <c r="K108" s="26" t="s">
        <v>2</v>
      </c>
      <c r="L108" s="90">
        <v>-3.6871269999999994</v>
      </c>
      <c r="M108" s="121"/>
    </row>
    <row r="109" spans="1:13" ht="22.5" customHeight="1" x14ac:dyDescent="0.25">
      <c r="A109" s="148"/>
      <c r="B109" s="151"/>
      <c r="C109" s="31" t="s">
        <v>134</v>
      </c>
      <c r="D109" s="26" t="s">
        <v>413</v>
      </c>
      <c r="E109" s="16" t="s">
        <v>665</v>
      </c>
      <c r="F109" s="16">
        <v>3</v>
      </c>
      <c r="G109" s="16" t="s">
        <v>583</v>
      </c>
      <c r="H109" s="16">
        <v>12</v>
      </c>
      <c r="I109" s="26">
        <f t="shared" si="5"/>
        <v>15</v>
      </c>
      <c r="J109" s="16" t="s">
        <v>669</v>
      </c>
      <c r="K109" s="16" t="s">
        <v>2</v>
      </c>
      <c r="L109" s="90">
        <v>-4.3814009999999985</v>
      </c>
      <c r="M109" s="121"/>
    </row>
    <row r="110" spans="1:13" ht="22.5" customHeight="1" thickBot="1" x14ac:dyDescent="0.3">
      <c r="A110" s="149"/>
      <c r="B110" s="158"/>
      <c r="C110" s="83" t="s">
        <v>136</v>
      </c>
      <c r="D110" s="18" t="s">
        <v>414</v>
      </c>
      <c r="E110" s="29" t="s">
        <v>665</v>
      </c>
      <c r="F110" s="29">
        <v>3</v>
      </c>
      <c r="G110" s="29" t="s">
        <v>628</v>
      </c>
      <c r="H110" s="29">
        <v>14</v>
      </c>
      <c r="I110" s="29">
        <f t="shared" si="5"/>
        <v>17</v>
      </c>
      <c r="J110" s="18" t="s">
        <v>670</v>
      </c>
      <c r="K110" s="29" t="s">
        <v>2</v>
      </c>
      <c r="L110" s="92">
        <v>-5.0756750000000004</v>
      </c>
      <c r="M110" s="122"/>
    </row>
    <row r="111" spans="1:13" ht="18" x14ac:dyDescent="0.25">
      <c r="A111" s="155" t="s">
        <v>152</v>
      </c>
      <c r="B111" s="152"/>
      <c r="C111" s="51" t="s">
        <v>137</v>
      </c>
      <c r="D111" s="42" t="s">
        <v>415</v>
      </c>
      <c r="E111" s="42" t="s">
        <v>671</v>
      </c>
      <c r="F111" s="42">
        <v>2</v>
      </c>
      <c r="G111" s="42" t="s">
        <v>577</v>
      </c>
      <c r="H111" s="42">
        <v>8</v>
      </c>
      <c r="I111" s="42">
        <v>8</v>
      </c>
      <c r="J111" s="33" t="s">
        <v>672</v>
      </c>
      <c r="K111" s="42" t="s">
        <v>2</v>
      </c>
      <c r="L111" s="75">
        <v>-2.8902339999999995</v>
      </c>
      <c r="M111" s="123">
        <v>10</v>
      </c>
    </row>
    <row r="112" spans="1:13" ht="18" x14ac:dyDescent="0.25">
      <c r="A112" s="156"/>
      <c r="B112" s="153"/>
      <c r="C112" s="8" t="s">
        <v>138</v>
      </c>
      <c r="D112" s="4" t="s">
        <v>416</v>
      </c>
      <c r="E112" s="4" t="s">
        <v>671</v>
      </c>
      <c r="F112" s="4">
        <v>2</v>
      </c>
      <c r="G112" s="4" t="s">
        <v>581</v>
      </c>
      <c r="H112" s="4">
        <v>10</v>
      </c>
      <c r="I112" s="4">
        <v>10</v>
      </c>
      <c r="J112" s="4" t="s">
        <v>673</v>
      </c>
      <c r="K112" s="4" t="s">
        <v>2</v>
      </c>
      <c r="L112" s="77">
        <v>-3.5845079999999996</v>
      </c>
      <c r="M112" s="124"/>
    </row>
    <row r="113" spans="1:13" ht="18" x14ac:dyDescent="0.25">
      <c r="A113" s="156"/>
      <c r="B113" s="153"/>
      <c r="C113" s="52" t="s">
        <v>139</v>
      </c>
      <c r="D113" s="6" t="s">
        <v>417</v>
      </c>
      <c r="E113" s="6" t="s">
        <v>671</v>
      </c>
      <c r="F113" s="6">
        <v>2</v>
      </c>
      <c r="G113" s="6" t="s">
        <v>583</v>
      </c>
      <c r="H113" s="6">
        <v>12</v>
      </c>
      <c r="I113" s="6">
        <v>12</v>
      </c>
      <c r="J113" s="4" t="s">
        <v>674</v>
      </c>
      <c r="K113" s="6" t="s">
        <v>2</v>
      </c>
      <c r="L113" s="77">
        <v>-4.2792729999999999</v>
      </c>
      <c r="M113" s="124"/>
    </row>
    <row r="114" spans="1:13" ht="18" x14ac:dyDescent="0.25">
      <c r="A114" s="156"/>
      <c r="B114" s="153"/>
      <c r="C114" s="8" t="s">
        <v>140</v>
      </c>
      <c r="D114" s="4" t="s">
        <v>418</v>
      </c>
      <c r="E114" s="4" t="s">
        <v>671</v>
      </c>
      <c r="F114" s="4">
        <v>2</v>
      </c>
      <c r="G114" s="4" t="s">
        <v>628</v>
      </c>
      <c r="H114" s="4">
        <v>14</v>
      </c>
      <c r="I114" s="4">
        <v>14</v>
      </c>
      <c r="J114" s="4" t="s">
        <v>675</v>
      </c>
      <c r="K114" s="4" t="s">
        <v>2</v>
      </c>
      <c r="L114" s="77">
        <v>-4.9735469999999999</v>
      </c>
      <c r="M114" s="124"/>
    </row>
    <row r="115" spans="1:13" ht="18" x14ac:dyDescent="0.25">
      <c r="A115" s="156"/>
      <c r="B115" s="153"/>
      <c r="C115" s="52" t="s">
        <v>141</v>
      </c>
      <c r="D115" s="6" t="s">
        <v>419</v>
      </c>
      <c r="E115" s="6" t="s">
        <v>671</v>
      </c>
      <c r="F115" s="6">
        <v>2</v>
      </c>
      <c r="G115" s="6" t="s">
        <v>657</v>
      </c>
      <c r="H115" s="6">
        <v>16</v>
      </c>
      <c r="I115" s="6">
        <v>16</v>
      </c>
      <c r="J115" s="4" t="s">
        <v>676</v>
      </c>
      <c r="K115" s="6" t="s">
        <v>2</v>
      </c>
      <c r="L115" s="77">
        <v>-5.667821</v>
      </c>
      <c r="M115" s="124"/>
    </row>
    <row r="116" spans="1:13" ht="18" x14ac:dyDescent="0.25">
      <c r="A116" s="156"/>
      <c r="B116" s="153"/>
      <c r="C116" s="8" t="s">
        <v>142</v>
      </c>
      <c r="D116" s="4" t="s">
        <v>420</v>
      </c>
      <c r="E116" s="4" t="s">
        <v>822</v>
      </c>
      <c r="F116" s="4">
        <v>4</v>
      </c>
      <c r="G116" s="4" t="s">
        <v>577</v>
      </c>
      <c r="H116" s="4">
        <v>8</v>
      </c>
      <c r="I116" s="4">
        <v>8</v>
      </c>
      <c r="J116" s="4" t="s">
        <v>677</v>
      </c>
      <c r="K116" s="4" t="s">
        <v>2</v>
      </c>
      <c r="L116" s="77">
        <v>-3.4111849999999997</v>
      </c>
      <c r="M116" s="124"/>
    </row>
    <row r="117" spans="1:13" ht="18" x14ac:dyDescent="0.25">
      <c r="A117" s="156"/>
      <c r="B117" s="153"/>
      <c r="C117" s="52" t="s">
        <v>143</v>
      </c>
      <c r="D117" s="6" t="s">
        <v>421</v>
      </c>
      <c r="E117" s="6" t="s">
        <v>822</v>
      </c>
      <c r="F117" s="6">
        <v>4</v>
      </c>
      <c r="G117" s="6" t="s">
        <v>581</v>
      </c>
      <c r="H117" s="6">
        <v>10</v>
      </c>
      <c r="I117" s="6">
        <v>10</v>
      </c>
      <c r="J117" s="4" t="s">
        <v>678</v>
      </c>
      <c r="K117" s="6" t="s">
        <v>2</v>
      </c>
      <c r="L117" s="77">
        <v>-4.1054589999999997</v>
      </c>
      <c r="M117" s="124"/>
    </row>
    <row r="118" spans="1:13" ht="18" x14ac:dyDescent="0.25">
      <c r="A118" s="156"/>
      <c r="B118" s="153"/>
      <c r="C118" s="8" t="s">
        <v>144</v>
      </c>
      <c r="D118" s="4" t="s">
        <v>422</v>
      </c>
      <c r="E118" s="4" t="s">
        <v>822</v>
      </c>
      <c r="F118" s="4">
        <v>4</v>
      </c>
      <c r="G118" s="4" t="s">
        <v>583</v>
      </c>
      <c r="H118" s="4">
        <v>12</v>
      </c>
      <c r="I118" s="4">
        <v>12</v>
      </c>
      <c r="J118" s="4" t="s">
        <v>679</v>
      </c>
      <c r="K118" s="4" t="s">
        <v>2</v>
      </c>
      <c r="L118" s="77">
        <v>-4.7997329999999998</v>
      </c>
      <c r="M118" s="124"/>
    </row>
    <row r="119" spans="1:13" ht="18" x14ac:dyDescent="0.25">
      <c r="A119" s="156"/>
      <c r="B119" s="153"/>
      <c r="C119" s="52" t="s">
        <v>145</v>
      </c>
      <c r="D119" s="6" t="s">
        <v>423</v>
      </c>
      <c r="E119" s="6" t="s">
        <v>822</v>
      </c>
      <c r="F119" s="6">
        <v>4</v>
      </c>
      <c r="G119" s="6" t="s">
        <v>628</v>
      </c>
      <c r="H119" s="6">
        <v>14</v>
      </c>
      <c r="I119" s="6">
        <v>14</v>
      </c>
      <c r="J119" s="4" t="s">
        <v>680</v>
      </c>
      <c r="K119" s="6" t="s">
        <v>2</v>
      </c>
      <c r="L119" s="77">
        <v>-5.4940069999999999</v>
      </c>
      <c r="M119" s="124"/>
    </row>
    <row r="120" spans="1:13" ht="18" x14ac:dyDescent="0.25">
      <c r="A120" s="156"/>
      <c r="B120" s="153"/>
      <c r="C120" s="8" t="s">
        <v>146</v>
      </c>
      <c r="D120" s="4" t="s">
        <v>424</v>
      </c>
      <c r="E120" s="4" t="s">
        <v>822</v>
      </c>
      <c r="F120" s="4">
        <v>4</v>
      </c>
      <c r="G120" s="4" t="s">
        <v>657</v>
      </c>
      <c r="H120" s="4">
        <v>16</v>
      </c>
      <c r="I120" s="4">
        <v>16</v>
      </c>
      <c r="J120" s="4" t="s">
        <v>681</v>
      </c>
      <c r="K120" s="4" t="s">
        <v>2</v>
      </c>
      <c r="L120" s="77">
        <v>-6.1887720000000002</v>
      </c>
      <c r="M120" s="124"/>
    </row>
    <row r="121" spans="1:13" ht="18" x14ac:dyDescent="0.25">
      <c r="A121" s="156"/>
      <c r="B121" s="153"/>
      <c r="C121" s="52" t="s">
        <v>147</v>
      </c>
      <c r="D121" s="6" t="s">
        <v>425</v>
      </c>
      <c r="E121" s="6" t="s">
        <v>823</v>
      </c>
      <c r="F121" s="6">
        <v>6</v>
      </c>
      <c r="G121" s="6" t="s">
        <v>577</v>
      </c>
      <c r="H121" s="6">
        <v>8</v>
      </c>
      <c r="I121" s="6">
        <v>8</v>
      </c>
      <c r="J121" s="4" t="s">
        <v>682</v>
      </c>
      <c r="K121" s="6" t="s">
        <v>2</v>
      </c>
      <c r="L121" s="77">
        <v>-3.9316449999999996</v>
      </c>
      <c r="M121" s="124"/>
    </row>
    <row r="122" spans="1:13" ht="18" x14ac:dyDescent="0.25">
      <c r="A122" s="156"/>
      <c r="B122" s="153"/>
      <c r="C122" s="8" t="s">
        <v>148</v>
      </c>
      <c r="D122" s="4" t="s">
        <v>426</v>
      </c>
      <c r="E122" s="4" t="s">
        <v>823</v>
      </c>
      <c r="F122" s="4">
        <v>6</v>
      </c>
      <c r="G122" s="4" t="s">
        <v>581</v>
      </c>
      <c r="H122" s="4">
        <v>10</v>
      </c>
      <c r="I122" s="4">
        <v>10</v>
      </c>
      <c r="J122" s="4" t="s">
        <v>683</v>
      </c>
      <c r="K122" s="4" t="s">
        <v>2</v>
      </c>
      <c r="L122" s="77">
        <v>-4.6264099999999999</v>
      </c>
      <c r="M122" s="124"/>
    </row>
    <row r="123" spans="1:13" ht="18" x14ac:dyDescent="0.25">
      <c r="A123" s="156"/>
      <c r="B123" s="153"/>
      <c r="C123" s="52" t="s">
        <v>149</v>
      </c>
      <c r="D123" s="6" t="s">
        <v>427</v>
      </c>
      <c r="E123" s="6" t="s">
        <v>823</v>
      </c>
      <c r="F123" s="6">
        <v>6</v>
      </c>
      <c r="G123" s="6" t="s">
        <v>583</v>
      </c>
      <c r="H123" s="6">
        <v>12</v>
      </c>
      <c r="I123" s="6">
        <v>12</v>
      </c>
      <c r="J123" s="4" t="s">
        <v>684</v>
      </c>
      <c r="K123" s="6" t="s">
        <v>2</v>
      </c>
      <c r="L123" s="77">
        <v>-5.320684</v>
      </c>
      <c r="M123" s="124"/>
    </row>
    <row r="124" spans="1:13" ht="18" x14ac:dyDescent="0.25">
      <c r="A124" s="156"/>
      <c r="B124" s="153"/>
      <c r="C124" s="8" t="s">
        <v>150</v>
      </c>
      <c r="D124" s="4" t="s">
        <v>428</v>
      </c>
      <c r="E124" s="4" t="s">
        <v>823</v>
      </c>
      <c r="F124" s="4">
        <v>6</v>
      </c>
      <c r="G124" s="4" t="s">
        <v>628</v>
      </c>
      <c r="H124" s="4">
        <v>14</v>
      </c>
      <c r="I124" s="4">
        <v>14</v>
      </c>
      <c r="J124" s="4" t="s">
        <v>685</v>
      </c>
      <c r="K124" s="4" t="s">
        <v>2</v>
      </c>
      <c r="L124" s="77">
        <v>-6.014958</v>
      </c>
      <c r="M124" s="124"/>
    </row>
    <row r="125" spans="1:13" ht="18" x14ac:dyDescent="0.25">
      <c r="A125" s="156"/>
      <c r="B125" s="153"/>
      <c r="C125" s="52" t="s">
        <v>151</v>
      </c>
      <c r="D125" s="6" t="s">
        <v>429</v>
      </c>
      <c r="E125" s="6" t="s">
        <v>823</v>
      </c>
      <c r="F125" s="6">
        <v>6</v>
      </c>
      <c r="G125" s="6" t="s">
        <v>657</v>
      </c>
      <c r="H125" s="6">
        <v>16</v>
      </c>
      <c r="I125" s="6">
        <v>16</v>
      </c>
      <c r="J125" s="4" t="s">
        <v>686</v>
      </c>
      <c r="K125" s="6" t="s">
        <v>2</v>
      </c>
      <c r="L125" s="77">
        <v>-6.7092320000000001</v>
      </c>
      <c r="M125" s="125"/>
    </row>
    <row r="126" spans="1:13" ht="37.5" customHeight="1" x14ac:dyDescent="0.25">
      <c r="A126" s="156"/>
      <c r="B126" s="146"/>
      <c r="C126" s="36" t="s">
        <v>290</v>
      </c>
      <c r="D126" s="44" t="s">
        <v>430</v>
      </c>
      <c r="E126" s="44" t="s">
        <v>824</v>
      </c>
      <c r="F126" s="44">
        <v>12</v>
      </c>
      <c r="G126" s="44" t="s">
        <v>583</v>
      </c>
      <c r="H126" s="44">
        <v>12</v>
      </c>
      <c r="I126" s="44">
        <v>12</v>
      </c>
      <c r="J126" s="44" t="s">
        <v>684</v>
      </c>
      <c r="K126" s="44" t="s">
        <v>2</v>
      </c>
      <c r="L126" s="72">
        <v>-5.0383589999999998</v>
      </c>
      <c r="M126" s="133">
        <v>45</v>
      </c>
    </row>
    <row r="127" spans="1:13" ht="37.5" customHeight="1" x14ac:dyDescent="0.25">
      <c r="A127" s="156"/>
      <c r="B127" s="146"/>
      <c r="C127" s="84" t="s">
        <v>291</v>
      </c>
      <c r="D127" s="38" t="s">
        <v>431</v>
      </c>
      <c r="E127" s="38" t="s">
        <v>824</v>
      </c>
      <c r="F127" s="38">
        <v>14</v>
      </c>
      <c r="G127" s="38" t="s">
        <v>583</v>
      </c>
      <c r="H127" s="38">
        <v>12</v>
      </c>
      <c r="I127" s="38">
        <v>12</v>
      </c>
      <c r="J127" s="38" t="s">
        <v>687</v>
      </c>
      <c r="K127" s="44" t="s">
        <v>2</v>
      </c>
      <c r="L127" s="72">
        <v>-5.55931</v>
      </c>
      <c r="M127" s="138"/>
    </row>
    <row r="128" spans="1:13" ht="93.6" customHeight="1" x14ac:dyDescent="0.25">
      <c r="A128" s="156"/>
      <c r="B128" s="8"/>
      <c r="C128" s="8" t="s">
        <v>292</v>
      </c>
      <c r="D128" s="4" t="s">
        <v>432</v>
      </c>
      <c r="E128" s="4" t="s">
        <v>688</v>
      </c>
      <c r="F128" s="4">
        <v>4</v>
      </c>
      <c r="G128" s="4" t="s">
        <v>583</v>
      </c>
      <c r="H128" s="4">
        <v>12</v>
      </c>
      <c r="I128" s="4">
        <v>12</v>
      </c>
      <c r="J128" s="4" t="s">
        <v>689</v>
      </c>
      <c r="K128" s="4" t="s">
        <v>2</v>
      </c>
      <c r="L128" s="77">
        <v>-2.9226399999999995</v>
      </c>
      <c r="M128" s="78">
        <v>45</v>
      </c>
    </row>
    <row r="129" spans="1:13" ht="123" customHeight="1" thickBot="1" x14ac:dyDescent="0.3">
      <c r="A129" s="157"/>
      <c r="B129" s="46"/>
      <c r="C129" s="91" t="s">
        <v>293</v>
      </c>
      <c r="D129" s="45" t="s">
        <v>433</v>
      </c>
      <c r="E129" s="45" t="s">
        <v>690</v>
      </c>
      <c r="F129" s="45">
        <v>4</v>
      </c>
      <c r="G129" s="45" t="s">
        <v>583</v>
      </c>
      <c r="H129" s="45">
        <v>12</v>
      </c>
      <c r="I129" s="45">
        <v>12</v>
      </c>
      <c r="J129" s="45" t="s">
        <v>691</v>
      </c>
      <c r="K129" s="41" t="s">
        <v>2</v>
      </c>
      <c r="L129" s="74">
        <v>-3.1755049999999994</v>
      </c>
      <c r="M129" s="95">
        <v>45</v>
      </c>
    </row>
    <row r="130" spans="1:13" ht="18" x14ac:dyDescent="0.25">
      <c r="A130" s="147" t="s">
        <v>1</v>
      </c>
      <c r="B130" s="150"/>
      <c r="C130" s="19" t="s">
        <v>102</v>
      </c>
      <c r="D130" s="21" t="s">
        <v>485</v>
      </c>
      <c r="E130" s="21" t="s">
        <v>692</v>
      </c>
      <c r="F130" s="21">
        <v>6</v>
      </c>
      <c r="G130" s="21" t="s">
        <v>583</v>
      </c>
      <c r="H130" s="21">
        <v>12</v>
      </c>
      <c r="I130" s="21">
        <v>12</v>
      </c>
      <c r="J130" s="23" t="s">
        <v>693</v>
      </c>
      <c r="K130" s="21" t="s">
        <v>2</v>
      </c>
      <c r="L130" s="89">
        <v>-2.9555369999999996</v>
      </c>
      <c r="M130" s="70">
        <v>45.27</v>
      </c>
    </row>
    <row r="131" spans="1:13" ht="18" x14ac:dyDescent="0.25">
      <c r="A131" s="148"/>
      <c r="B131" s="151"/>
      <c r="C131" s="31" t="s">
        <v>103</v>
      </c>
      <c r="D131" s="16" t="s">
        <v>486</v>
      </c>
      <c r="E131" s="16" t="s">
        <v>694</v>
      </c>
      <c r="F131" s="16">
        <v>5</v>
      </c>
      <c r="G131" s="16" t="s">
        <v>583</v>
      </c>
      <c r="H131" s="16">
        <v>12</v>
      </c>
      <c r="I131" s="16">
        <v>12</v>
      </c>
      <c r="J131" s="16" t="s">
        <v>695</v>
      </c>
      <c r="K131" s="16" t="s">
        <v>2</v>
      </c>
      <c r="L131" s="90">
        <v>-2.7817229999999995</v>
      </c>
      <c r="M131" s="71">
        <v>27.43</v>
      </c>
    </row>
    <row r="132" spans="1:13" ht="18" x14ac:dyDescent="0.25">
      <c r="A132" s="148"/>
      <c r="B132" s="151"/>
      <c r="C132" s="31" t="s">
        <v>104</v>
      </c>
      <c r="D132" s="16" t="s">
        <v>487</v>
      </c>
      <c r="E132" s="16" t="s">
        <v>626</v>
      </c>
      <c r="F132" s="16">
        <v>4</v>
      </c>
      <c r="G132" s="16" t="s">
        <v>583</v>
      </c>
      <c r="H132" s="16">
        <v>12</v>
      </c>
      <c r="I132" s="16">
        <v>12</v>
      </c>
      <c r="J132" s="16" t="s">
        <v>696</v>
      </c>
      <c r="K132" s="16" t="s">
        <v>115</v>
      </c>
      <c r="L132" s="90">
        <v>-2.6079089999999994</v>
      </c>
      <c r="M132" s="71" t="s">
        <v>850</v>
      </c>
    </row>
    <row r="133" spans="1:13" ht="18" x14ac:dyDescent="0.25">
      <c r="A133" s="148"/>
      <c r="B133" s="151"/>
      <c r="C133" s="31" t="s">
        <v>105</v>
      </c>
      <c r="D133" s="16" t="s">
        <v>488</v>
      </c>
      <c r="E133" s="16" t="s">
        <v>697</v>
      </c>
      <c r="F133" s="16">
        <v>3</v>
      </c>
      <c r="G133" s="16" t="s">
        <v>583</v>
      </c>
      <c r="H133" s="16">
        <v>12</v>
      </c>
      <c r="I133" s="16">
        <v>12</v>
      </c>
      <c r="J133" s="16" t="s">
        <v>698</v>
      </c>
      <c r="K133" s="16" t="s">
        <v>2</v>
      </c>
      <c r="L133" s="90">
        <v>-2.4345859999999995</v>
      </c>
      <c r="M133" s="142">
        <v>27</v>
      </c>
    </row>
    <row r="134" spans="1:13" ht="18" x14ac:dyDescent="0.25">
      <c r="A134" s="148"/>
      <c r="B134" s="151"/>
      <c r="C134" s="31" t="s">
        <v>106</v>
      </c>
      <c r="D134" s="16" t="s">
        <v>489</v>
      </c>
      <c r="E134" s="16" t="s">
        <v>699</v>
      </c>
      <c r="F134" s="16">
        <v>2</v>
      </c>
      <c r="G134" s="16" t="s">
        <v>583</v>
      </c>
      <c r="H134" s="16">
        <v>12</v>
      </c>
      <c r="I134" s="16">
        <v>12</v>
      </c>
      <c r="J134" s="16" t="s">
        <v>700</v>
      </c>
      <c r="K134" s="16" t="s">
        <v>2</v>
      </c>
      <c r="L134" s="90">
        <v>-2.2607720000000002</v>
      </c>
      <c r="M134" s="143"/>
    </row>
    <row r="135" spans="1:13" ht="18" x14ac:dyDescent="0.25">
      <c r="A135" s="148"/>
      <c r="B135" s="151"/>
      <c r="C135" s="81" t="s">
        <v>116</v>
      </c>
      <c r="D135" s="16" t="s">
        <v>491</v>
      </c>
      <c r="E135" s="26" t="s">
        <v>207</v>
      </c>
      <c r="F135" s="26">
        <v>4</v>
      </c>
      <c r="G135" s="25" t="s">
        <v>628</v>
      </c>
      <c r="H135" s="16">
        <v>14</v>
      </c>
      <c r="I135" s="16">
        <v>14</v>
      </c>
      <c r="J135" s="26" t="s">
        <v>701</v>
      </c>
      <c r="K135" s="16" t="s">
        <v>5</v>
      </c>
      <c r="L135" s="90">
        <v>-3.3026739999999997</v>
      </c>
      <c r="M135" s="142">
        <v>36</v>
      </c>
    </row>
    <row r="136" spans="1:13" ht="18" x14ac:dyDescent="0.25">
      <c r="A136" s="148"/>
      <c r="B136" s="151"/>
      <c r="C136" s="81" t="s">
        <v>117</v>
      </c>
      <c r="D136" s="16" t="s">
        <v>490</v>
      </c>
      <c r="E136" s="26" t="s">
        <v>207</v>
      </c>
      <c r="F136" s="26">
        <v>4</v>
      </c>
      <c r="G136" s="25" t="s">
        <v>581</v>
      </c>
      <c r="H136" s="16">
        <v>10</v>
      </c>
      <c r="I136" s="16">
        <v>10</v>
      </c>
      <c r="J136" s="26" t="s">
        <v>702</v>
      </c>
      <c r="K136" s="16" t="s">
        <v>5</v>
      </c>
      <c r="L136" s="90">
        <v>-1.9136349999999993</v>
      </c>
      <c r="M136" s="143"/>
    </row>
    <row r="137" spans="1:13" ht="18" x14ac:dyDescent="0.25">
      <c r="A137" s="148"/>
      <c r="B137" s="151"/>
      <c r="C137" s="31" t="s">
        <v>118</v>
      </c>
      <c r="D137" s="16" t="s">
        <v>492</v>
      </c>
      <c r="E137" s="16" t="s">
        <v>206</v>
      </c>
      <c r="F137" s="16">
        <v>5</v>
      </c>
      <c r="G137" s="16" t="s">
        <v>657</v>
      </c>
      <c r="H137" s="16">
        <v>16</v>
      </c>
      <c r="I137" s="16">
        <v>16</v>
      </c>
      <c r="J137" s="16" t="s">
        <v>703</v>
      </c>
      <c r="K137" s="16" t="s">
        <v>2</v>
      </c>
      <c r="L137" s="90">
        <v>-4.1702709999999996</v>
      </c>
      <c r="M137" s="71">
        <v>23</v>
      </c>
    </row>
    <row r="138" spans="1:13" ht="18" x14ac:dyDescent="0.25">
      <c r="A138" s="148"/>
      <c r="B138" s="151"/>
      <c r="C138" s="31" t="s">
        <v>155</v>
      </c>
      <c r="D138" s="26" t="s">
        <v>493</v>
      </c>
      <c r="E138" s="16" t="s">
        <v>704</v>
      </c>
      <c r="F138" s="16">
        <v>10</v>
      </c>
      <c r="G138" s="16" t="s">
        <v>583</v>
      </c>
      <c r="H138" s="16">
        <v>12</v>
      </c>
      <c r="I138" s="16">
        <v>12</v>
      </c>
      <c r="J138" s="16" t="s">
        <v>705</v>
      </c>
      <c r="K138" s="16" t="s">
        <v>2</v>
      </c>
      <c r="L138" s="90">
        <v>-3.6498110000000006</v>
      </c>
      <c r="M138" s="139">
        <v>45</v>
      </c>
    </row>
    <row r="139" spans="1:13" ht="18" x14ac:dyDescent="0.25">
      <c r="A139" s="148"/>
      <c r="B139" s="151"/>
      <c r="C139" s="81" t="s">
        <v>159</v>
      </c>
      <c r="D139" s="26" t="s">
        <v>494</v>
      </c>
      <c r="E139" s="26" t="s">
        <v>643</v>
      </c>
      <c r="F139" s="26">
        <v>6</v>
      </c>
      <c r="G139" s="26" t="s">
        <v>571</v>
      </c>
      <c r="H139" s="26">
        <v>7</v>
      </c>
      <c r="I139" s="26">
        <v>7</v>
      </c>
      <c r="J139" s="26" t="s">
        <v>706</v>
      </c>
      <c r="K139" s="26" t="s">
        <v>27</v>
      </c>
      <c r="L139" s="90">
        <v>-1.2193610000000001</v>
      </c>
      <c r="M139" s="140"/>
    </row>
    <row r="140" spans="1:13" ht="18" x14ac:dyDescent="0.25">
      <c r="A140" s="148"/>
      <c r="B140" s="151"/>
      <c r="C140" s="31" t="s">
        <v>160</v>
      </c>
      <c r="D140" s="16" t="s">
        <v>495</v>
      </c>
      <c r="E140" s="16" t="s">
        <v>643</v>
      </c>
      <c r="F140" s="16">
        <v>6</v>
      </c>
      <c r="G140" s="16" t="s">
        <v>577</v>
      </c>
      <c r="H140" s="16">
        <v>8</v>
      </c>
      <c r="I140" s="16">
        <v>8</v>
      </c>
      <c r="J140" s="16" t="s">
        <v>707</v>
      </c>
      <c r="K140" s="16" t="s">
        <v>27</v>
      </c>
      <c r="L140" s="90">
        <v>-1.5664980000000002</v>
      </c>
      <c r="M140" s="140"/>
    </row>
    <row r="141" spans="1:13" ht="18" x14ac:dyDescent="0.25">
      <c r="A141" s="148"/>
      <c r="B141" s="151"/>
      <c r="C141" s="81" t="s">
        <v>161</v>
      </c>
      <c r="D141" s="26" t="s">
        <v>496</v>
      </c>
      <c r="E141" s="26" t="s">
        <v>643</v>
      </c>
      <c r="F141" s="26">
        <v>6</v>
      </c>
      <c r="G141" s="26" t="s">
        <v>579</v>
      </c>
      <c r="H141" s="26">
        <v>9</v>
      </c>
      <c r="I141" s="26">
        <v>9</v>
      </c>
      <c r="J141" s="26" t="s">
        <v>702</v>
      </c>
      <c r="K141" s="26" t="s">
        <v>27</v>
      </c>
      <c r="L141" s="90">
        <v>-1.9136349999999993</v>
      </c>
      <c r="M141" s="140"/>
    </row>
    <row r="142" spans="1:13" ht="18" x14ac:dyDescent="0.25">
      <c r="A142" s="148"/>
      <c r="B142" s="151"/>
      <c r="C142" s="31" t="s">
        <v>162</v>
      </c>
      <c r="D142" s="16" t="s">
        <v>497</v>
      </c>
      <c r="E142" s="16" t="s">
        <v>643</v>
      </c>
      <c r="F142" s="16">
        <v>6</v>
      </c>
      <c r="G142" s="16" t="s">
        <v>581</v>
      </c>
      <c r="H142" s="16">
        <v>10</v>
      </c>
      <c r="I142" s="16">
        <v>10</v>
      </c>
      <c r="J142" s="16" t="s">
        <v>700</v>
      </c>
      <c r="K142" s="16" t="s">
        <v>27</v>
      </c>
      <c r="L142" s="90">
        <v>-2.2607720000000002</v>
      </c>
      <c r="M142" s="140"/>
    </row>
    <row r="143" spans="1:13" ht="18" x14ac:dyDescent="0.25">
      <c r="A143" s="148"/>
      <c r="B143" s="151"/>
      <c r="C143" s="31" t="s">
        <v>153</v>
      </c>
      <c r="D143" s="16" t="s">
        <v>498</v>
      </c>
      <c r="E143" s="16" t="s">
        <v>643</v>
      </c>
      <c r="F143" s="16">
        <v>6</v>
      </c>
      <c r="G143" s="16" t="s">
        <v>657</v>
      </c>
      <c r="H143" s="16">
        <v>16</v>
      </c>
      <c r="I143" s="16">
        <v>16</v>
      </c>
      <c r="J143" s="16" t="s">
        <v>708</v>
      </c>
      <c r="K143" s="16" t="s">
        <v>27</v>
      </c>
      <c r="L143" s="90">
        <v>-4.3440849999999998</v>
      </c>
      <c r="M143" s="141"/>
    </row>
    <row r="144" spans="1:13" ht="18" x14ac:dyDescent="0.25">
      <c r="A144" s="148"/>
      <c r="B144" s="151"/>
      <c r="C144" s="81" t="s">
        <v>173</v>
      </c>
      <c r="D144" s="26" t="s">
        <v>499</v>
      </c>
      <c r="E144" s="26" t="s">
        <v>646</v>
      </c>
      <c r="F144" s="26">
        <v>12</v>
      </c>
      <c r="G144" s="26" t="s">
        <v>583</v>
      </c>
      <c r="H144" s="26">
        <v>12</v>
      </c>
      <c r="I144" s="26">
        <v>12</v>
      </c>
      <c r="J144" s="16" t="s">
        <v>849</v>
      </c>
      <c r="K144" s="26" t="s">
        <v>2</v>
      </c>
      <c r="L144" s="90">
        <v>-3.9969480000000006</v>
      </c>
      <c r="M144" s="82">
        <v>23</v>
      </c>
    </row>
    <row r="145" spans="1:13" ht="36" x14ac:dyDescent="0.25">
      <c r="A145" s="148"/>
      <c r="B145" s="151"/>
      <c r="C145" s="81" t="s">
        <v>230</v>
      </c>
      <c r="D145" s="26" t="s">
        <v>500</v>
      </c>
      <c r="E145" s="26" t="s">
        <v>643</v>
      </c>
      <c r="F145" s="26">
        <v>6</v>
      </c>
      <c r="G145" s="25" t="s">
        <v>709</v>
      </c>
      <c r="H145" s="26" t="s">
        <v>231</v>
      </c>
      <c r="I145" s="26" t="s">
        <v>231</v>
      </c>
      <c r="J145" s="26" t="s">
        <v>693</v>
      </c>
      <c r="K145" s="26" t="s">
        <v>27</v>
      </c>
      <c r="L145" s="96">
        <v>-2.9555369999999996</v>
      </c>
      <c r="M145" s="139">
        <v>45</v>
      </c>
    </row>
    <row r="146" spans="1:13" ht="36" x14ac:dyDescent="0.25">
      <c r="A146" s="148"/>
      <c r="B146" s="151"/>
      <c r="C146" s="31" t="s">
        <v>232</v>
      </c>
      <c r="D146" s="16" t="s">
        <v>501</v>
      </c>
      <c r="E146" s="16" t="s">
        <v>643</v>
      </c>
      <c r="F146" s="16">
        <v>6</v>
      </c>
      <c r="G146" s="24" t="s">
        <v>710</v>
      </c>
      <c r="H146" s="16" t="s">
        <v>233</v>
      </c>
      <c r="I146" s="16" t="s">
        <v>233</v>
      </c>
      <c r="J146" s="16" t="s">
        <v>693</v>
      </c>
      <c r="K146" s="16" t="s">
        <v>27</v>
      </c>
      <c r="L146" s="96">
        <v>-2.9555369999999996</v>
      </c>
      <c r="M146" s="140"/>
    </row>
    <row r="147" spans="1:13" ht="36" x14ac:dyDescent="0.25">
      <c r="A147" s="148"/>
      <c r="B147" s="151"/>
      <c r="C147" s="81" t="s">
        <v>234</v>
      </c>
      <c r="D147" s="26" t="s">
        <v>502</v>
      </c>
      <c r="E147" s="26" t="s">
        <v>643</v>
      </c>
      <c r="F147" s="26">
        <v>6</v>
      </c>
      <c r="G147" s="25" t="s">
        <v>711</v>
      </c>
      <c r="H147" s="26" t="s">
        <v>235</v>
      </c>
      <c r="I147" s="26" t="s">
        <v>235</v>
      </c>
      <c r="J147" s="26" t="s">
        <v>693</v>
      </c>
      <c r="K147" s="26" t="s">
        <v>27</v>
      </c>
      <c r="L147" s="96">
        <v>-2.9555369999999996</v>
      </c>
      <c r="M147" s="140"/>
    </row>
    <row r="148" spans="1:13" ht="36" x14ac:dyDescent="0.25">
      <c r="A148" s="148"/>
      <c r="B148" s="151"/>
      <c r="C148" s="31" t="s">
        <v>236</v>
      </c>
      <c r="D148" s="16" t="s">
        <v>503</v>
      </c>
      <c r="E148" s="16" t="s">
        <v>643</v>
      </c>
      <c r="F148" s="16">
        <v>6</v>
      </c>
      <c r="G148" s="24" t="s">
        <v>712</v>
      </c>
      <c r="H148" s="16" t="s">
        <v>237</v>
      </c>
      <c r="I148" s="16" t="s">
        <v>237</v>
      </c>
      <c r="J148" s="16" t="s">
        <v>693</v>
      </c>
      <c r="K148" s="16" t="s">
        <v>27</v>
      </c>
      <c r="L148" s="96">
        <v>-2.9555369999999996</v>
      </c>
      <c r="M148" s="140"/>
    </row>
    <row r="149" spans="1:13" ht="36" x14ac:dyDescent="0.25">
      <c r="A149" s="148"/>
      <c r="B149" s="151"/>
      <c r="C149" s="81" t="s">
        <v>238</v>
      </c>
      <c r="D149" s="26" t="s">
        <v>504</v>
      </c>
      <c r="E149" s="26" t="s">
        <v>643</v>
      </c>
      <c r="F149" s="26">
        <v>6</v>
      </c>
      <c r="G149" s="25" t="s">
        <v>713</v>
      </c>
      <c r="H149" s="26" t="s">
        <v>239</v>
      </c>
      <c r="I149" s="26" t="s">
        <v>239</v>
      </c>
      <c r="J149" s="26" t="s">
        <v>702</v>
      </c>
      <c r="K149" s="26" t="s">
        <v>27</v>
      </c>
      <c r="L149" s="96">
        <v>-1.9136349999999993</v>
      </c>
      <c r="M149" s="140"/>
    </row>
    <row r="150" spans="1:13" ht="36" x14ac:dyDescent="0.25">
      <c r="A150" s="148"/>
      <c r="B150" s="151"/>
      <c r="C150" s="31" t="s">
        <v>240</v>
      </c>
      <c r="D150" s="16" t="s">
        <v>505</v>
      </c>
      <c r="E150" s="16" t="s">
        <v>643</v>
      </c>
      <c r="F150" s="16">
        <v>6</v>
      </c>
      <c r="G150" s="24" t="s">
        <v>714</v>
      </c>
      <c r="H150" s="16" t="s">
        <v>241</v>
      </c>
      <c r="I150" s="16" t="s">
        <v>241</v>
      </c>
      <c r="J150" s="16" t="s">
        <v>700</v>
      </c>
      <c r="K150" s="16" t="s">
        <v>27</v>
      </c>
      <c r="L150" s="96">
        <v>-2.2607720000000002</v>
      </c>
      <c r="M150" s="140"/>
    </row>
    <row r="151" spans="1:13" ht="36" x14ac:dyDescent="0.25">
      <c r="A151" s="148"/>
      <c r="B151" s="151"/>
      <c r="C151" s="81" t="s">
        <v>242</v>
      </c>
      <c r="D151" s="16" t="s">
        <v>506</v>
      </c>
      <c r="E151" s="26" t="s">
        <v>643</v>
      </c>
      <c r="F151" s="26">
        <v>6</v>
      </c>
      <c r="G151" s="25" t="s">
        <v>715</v>
      </c>
      <c r="H151" s="26" t="s">
        <v>243</v>
      </c>
      <c r="I151" s="26" t="s">
        <v>243</v>
      </c>
      <c r="J151" s="26" t="s">
        <v>696</v>
      </c>
      <c r="K151" s="26" t="s">
        <v>27</v>
      </c>
      <c r="L151" s="96">
        <v>-2.6079089999999994</v>
      </c>
      <c r="M151" s="141"/>
    </row>
    <row r="152" spans="1:13" ht="30.95" customHeight="1" x14ac:dyDescent="0.25">
      <c r="A152" s="148"/>
      <c r="B152" s="164"/>
      <c r="C152" s="36" t="s">
        <v>107</v>
      </c>
      <c r="D152" s="44" t="s">
        <v>507</v>
      </c>
      <c r="E152" s="44" t="s">
        <v>203</v>
      </c>
      <c r="F152" s="44">
        <v>8</v>
      </c>
      <c r="G152" s="44" t="s">
        <v>716</v>
      </c>
      <c r="H152" s="44">
        <v>6</v>
      </c>
      <c r="I152" s="44">
        <v>6</v>
      </c>
      <c r="J152" s="44" t="s">
        <v>717</v>
      </c>
      <c r="K152" s="44" t="s">
        <v>2</v>
      </c>
      <c r="L152" s="72">
        <v>-3.2187130000000002</v>
      </c>
      <c r="M152" s="133">
        <v>3</v>
      </c>
    </row>
    <row r="153" spans="1:13" ht="30.95" customHeight="1" x14ac:dyDescent="0.25">
      <c r="A153" s="148"/>
      <c r="B153" s="164"/>
      <c r="C153" s="36" t="s">
        <v>108</v>
      </c>
      <c r="D153" s="44" t="s">
        <v>508</v>
      </c>
      <c r="E153" s="44" t="s">
        <v>207</v>
      </c>
      <c r="F153" s="44">
        <v>4</v>
      </c>
      <c r="G153" s="44" t="s">
        <v>718</v>
      </c>
      <c r="H153" s="44">
        <v>12</v>
      </c>
      <c r="I153" s="44">
        <v>12</v>
      </c>
      <c r="J153" s="117" t="s">
        <v>845</v>
      </c>
      <c r="K153" s="44" t="s">
        <v>2</v>
      </c>
      <c r="L153" s="72">
        <v>-4.6077519999999996</v>
      </c>
      <c r="M153" s="134"/>
    </row>
    <row r="154" spans="1:13" ht="30.95" customHeight="1" x14ac:dyDescent="0.25">
      <c r="A154" s="148"/>
      <c r="B154" s="164"/>
      <c r="C154" s="36" t="s">
        <v>109</v>
      </c>
      <c r="D154" s="44" t="s">
        <v>509</v>
      </c>
      <c r="E154" s="44" t="s">
        <v>207</v>
      </c>
      <c r="F154" s="44">
        <v>4</v>
      </c>
      <c r="G154" s="44" t="s">
        <v>716</v>
      </c>
      <c r="H154" s="44">
        <v>6</v>
      </c>
      <c r="I154" s="44">
        <v>6</v>
      </c>
      <c r="J154" s="44" t="s">
        <v>843</v>
      </c>
      <c r="K154" s="44" t="s">
        <v>2</v>
      </c>
      <c r="L154" s="72">
        <v>-2.5244389999999992</v>
      </c>
      <c r="M154" s="134"/>
    </row>
    <row r="155" spans="1:13" ht="30.95" customHeight="1" x14ac:dyDescent="0.25">
      <c r="A155" s="148"/>
      <c r="B155" s="164"/>
      <c r="C155" s="36" t="s">
        <v>305</v>
      </c>
      <c r="D155" s="44" t="s">
        <v>510</v>
      </c>
      <c r="E155" s="44" t="s">
        <v>624</v>
      </c>
      <c r="F155" s="44">
        <v>2</v>
      </c>
      <c r="G155" s="44" t="s">
        <v>719</v>
      </c>
      <c r="H155" s="44">
        <v>16</v>
      </c>
      <c r="I155" s="44">
        <v>16</v>
      </c>
      <c r="J155" s="44" t="s">
        <v>846</v>
      </c>
      <c r="K155" s="44" t="s">
        <v>2</v>
      </c>
      <c r="L155" s="72">
        <v>-5.6491629999999997</v>
      </c>
      <c r="M155" s="134"/>
    </row>
    <row r="156" spans="1:13" ht="30.95" customHeight="1" x14ac:dyDescent="0.25">
      <c r="A156" s="148"/>
      <c r="B156" s="164"/>
      <c r="C156" s="36" t="s">
        <v>306</v>
      </c>
      <c r="D156" s="44" t="s">
        <v>511</v>
      </c>
      <c r="E156" s="44" t="s">
        <v>624</v>
      </c>
      <c r="F156" s="44">
        <v>2</v>
      </c>
      <c r="G156" s="44" t="s">
        <v>718</v>
      </c>
      <c r="H156" s="44">
        <v>12</v>
      </c>
      <c r="I156" s="44">
        <v>12</v>
      </c>
      <c r="J156" s="44" t="s">
        <v>847</v>
      </c>
      <c r="K156" s="44" t="s">
        <v>2</v>
      </c>
      <c r="L156" s="72">
        <v>-4.2606149999999996</v>
      </c>
      <c r="M156" s="134"/>
    </row>
    <row r="157" spans="1:13" ht="30.95" customHeight="1" x14ac:dyDescent="0.25">
      <c r="A157" s="148"/>
      <c r="B157" s="164"/>
      <c r="C157" s="36" t="s">
        <v>307</v>
      </c>
      <c r="D157" s="44" t="s">
        <v>512</v>
      </c>
      <c r="E157" s="44" t="s">
        <v>624</v>
      </c>
      <c r="F157" s="44">
        <v>2</v>
      </c>
      <c r="G157" s="44" t="s">
        <v>716</v>
      </c>
      <c r="H157" s="44">
        <v>6</v>
      </c>
      <c r="I157" s="44">
        <v>6</v>
      </c>
      <c r="J157" s="44" t="s">
        <v>848</v>
      </c>
      <c r="K157" s="44" t="s">
        <v>2</v>
      </c>
      <c r="L157" s="72">
        <v>-2.1773020000000001</v>
      </c>
      <c r="M157" s="138"/>
    </row>
    <row r="158" spans="1:13" ht="48.95" customHeight="1" x14ac:dyDescent="0.25">
      <c r="A158" s="148"/>
      <c r="B158" s="165"/>
      <c r="C158" s="31" t="s">
        <v>110</v>
      </c>
      <c r="D158" s="16" t="s">
        <v>513</v>
      </c>
      <c r="E158" s="16" t="s">
        <v>720</v>
      </c>
      <c r="F158" s="16">
        <v>4</v>
      </c>
      <c r="G158" s="24" t="s">
        <v>657</v>
      </c>
      <c r="H158" s="16">
        <v>16</v>
      </c>
      <c r="I158" s="16">
        <v>16</v>
      </c>
      <c r="J158" s="16" t="s">
        <v>721</v>
      </c>
      <c r="K158" s="16" t="s">
        <v>5</v>
      </c>
      <c r="L158" s="90">
        <v>-3.9969480000000006</v>
      </c>
      <c r="M158" s="142">
        <v>36</v>
      </c>
    </row>
    <row r="159" spans="1:13" ht="48.95" customHeight="1" x14ac:dyDescent="0.25">
      <c r="A159" s="148"/>
      <c r="B159" s="165"/>
      <c r="C159" s="31" t="s">
        <v>111</v>
      </c>
      <c r="D159" s="16" t="s">
        <v>514</v>
      </c>
      <c r="E159" s="26" t="s">
        <v>720</v>
      </c>
      <c r="F159" s="16">
        <v>4</v>
      </c>
      <c r="G159" s="24" t="s">
        <v>581</v>
      </c>
      <c r="H159" s="16">
        <v>10</v>
      </c>
      <c r="I159" s="16">
        <v>10</v>
      </c>
      <c r="J159" s="26" t="s">
        <v>722</v>
      </c>
      <c r="K159" s="16" t="s">
        <v>5</v>
      </c>
      <c r="L159" s="90">
        <v>-1.9136349999999993</v>
      </c>
      <c r="M159" s="143"/>
    </row>
    <row r="160" spans="1:13" ht="26.1" customHeight="1" x14ac:dyDescent="0.25">
      <c r="A160" s="148"/>
      <c r="B160" s="164"/>
      <c r="C160" s="36" t="s">
        <v>112</v>
      </c>
      <c r="D160" s="44" t="s">
        <v>515</v>
      </c>
      <c r="E160" s="38" t="s">
        <v>723</v>
      </c>
      <c r="F160" s="44">
        <v>4</v>
      </c>
      <c r="G160" s="65" t="s">
        <v>628</v>
      </c>
      <c r="H160" s="44">
        <v>14</v>
      </c>
      <c r="I160" s="44">
        <v>14</v>
      </c>
      <c r="J160" s="38" t="s">
        <v>724</v>
      </c>
      <c r="K160" s="44" t="s">
        <v>5</v>
      </c>
      <c r="L160" s="72">
        <v>-3.3026739999999997</v>
      </c>
      <c r="M160" s="133">
        <v>36</v>
      </c>
    </row>
    <row r="161" spans="1:14" ht="26.1" customHeight="1" x14ac:dyDescent="0.25">
      <c r="A161" s="148"/>
      <c r="B161" s="164"/>
      <c r="C161" s="36" t="s">
        <v>113</v>
      </c>
      <c r="D161" s="44" t="s">
        <v>516</v>
      </c>
      <c r="E161" s="44" t="s">
        <v>723</v>
      </c>
      <c r="F161" s="44">
        <v>4</v>
      </c>
      <c r="G161" s="65" t="s">
        <v>583</v>
      </c>
      <c r="H161" s="44">
        <v>12</v>
      </c>
      <c r="I161" s="44">
        <v>12</v>
      </c>
      <c r="J161" s="44" t="s">
        <v>725</v>
      </c>
      <c r="K161" s="44" t="s">
        <v>5</v>
      </c>
      <c r="L161" s="72">
        <v>-2.6079089999999994</v>
      </c>
      <c r="M161" s="134"/>
    </row>
    <row r="162" spans="1:14" ht="26.1" customHeight="1" x14ac:dyDescent="0.25">
      <c r="A162" s="148"/>
      <c r="B162" s="164"/>
      <c r="C162" s="36" t="s">
        <v>114</v>
      </c>
      <c r="D162" s="44" t="s">
        <v>517</v>
      </c>
      <c r="E162" s="38" t="s">
        <v>723</v>
      </c>
      <c r="F162" s="44">
        <v>4</v>
      </c>
      <c r="G162" s="65" t="s">
        <v>581</v>
      </c>
      <c r="H162" s="44">
        <v>10</v>
      </c>
      <c r="I162" s="44">
        <v>10</v>
      </c>
      <c r="J162" s="38" t="s">
        <v>726</v>
      </c>
      <c r="K162" s="44" t="s">
        <v>5</v>
      </c>
      <c r="L162" s="72">
        <v>-1.9136349999999993</v>
      </c>
      <c r="M162" s="138"/>
    </row>
    <row r="163" spans="1:14" ht="22.5" customHeight="1" x14ac:dyDescent="0.25">
      <c r="A163" s="148"/>
      <c r="B163" s="165"/>
      <c r="C163" s="81" t="s">
        <v>119</v>
      </c>
      <c r="D163" s="26" t="s">
        <v>518</v>
      </c>
      <c r="E163" s="26" t="s">
        <v>622</v>
      </c>
      <c r="F163" s="26">
        <v>3</v>
      </c>
      <c r="G163" s="26" t="s">
        <v>581</v>
      </c>
      <c r="H163" s="26">
        <v>10</v>
      </c>
      <c r="I163" s="26">
        <f>H163+2</f>
        <v>12</v>
      </c>
      <c r="J163" s="26" t="s">
        <v>840</v>
      </c>
      <c r="K163" s="26" t="s">
        <v>5</v>
      </c>
      <c r="L163" s="90">
        <v>-3.4111849999999997</v>
      </c>
      <c r="M163" s="139">
        <v>24</v>
      </c>
    </row>
    <row r="164" spans="1:14" ht="22.5" customHeight="1" x14ac:dyDescent="0.25">
      <c r="A164" s="148"/>
      <c r="B164" s="165"/>
      <c r="C164" s="31" t="s">
        <v>120</v>
      </c>
      <c r="D164" s="16" t="s">
        <v>519</v>
      </c>
      <c r="E164" s="16" t="s">
        <v>622</v>
      </c>
      <c r="F164" s="16">
        <v>3</v>
      </c>
      <c r="G164" s="16" t="s">
        <v>583</v>
      </c>
      <c r="H164" s="16">
        <v>12</v>
      </c>
      <c r="I164" s="26">
        <f t="shared" ref="I164:I168" si="6">H164+2</f>
        <v>14</v>
      </c>
      <c r="J164" s="16" t="s">
        <v>841</v>
      </c>
      <c r="K164" s="16" t="s">
        <v>115</v>
      </c>
      <c r="L164" s="90">
        <v>-4.1054589999999997</v>
      </c>
      <c r="M164" s="140"/>
    </row>
    <row r="165" spans="1:14" ht="22.5" customHeight="1" x14ac:dyDescent="0.25">
      <c r="A165" s="148"/>
      <c r="B165" s="165"/>
      <c r="C165" s="31" t="s">
        <v>121</v>
      </c>
      <c r="D165" s="16" t="s">
        <v>520</v>
      </c>
      <c r="E165" s="16" t="s">
        <v>624</v>
      </c>
      <c r="F165" s="16">
        <v>2</v>
      </c>
      <c r="G165" s="16" t="s">
        <v>569</v>
      </c>
      <c r="H165" s="16">
        <v>6</v>
      </c>
      <c r="I165" s="26">
        <f t="shared" si="6"/>
        <v>8</v>
      </c>
      <c r="J165" s="16" t="s">
        <v>842</v>
      </c>
      <c r="K165" s="16" t="s">
        <v>5</v>
      </c>
      <c r="L165" s="90">
        <v>-1.8488230000000001</v>
      </c>
      <c r="M165" s="140"/>
    </row>
    <row r="166" spans="1:14" ht="22.5" customHeight="1" x14ac:dyDescent="0.25">
      <c r="A166" s="148"/>
      <c r="B166" s="165"/>
      <c r="C166" s="81" t="s">
        <v>122</v>
      </c>
      <c r="D166" s="16" t="s">
        <v>521</v>
      </c>
      <c r="E166" s="26" t="s">
        <v>624</v>
      </c>
      <c r="F166" s="26">
        <v>2</v>
      </c>
      <c r="G166" s="26" t="s">
        <v>577</v>
      </c>
      <c r="H166" s="26">
        <v>8</v>
      </c>
      <c r="I166" s="26">
        <f t="shared" si="6"/>
        <v>10</v>
      </c>
      <c r="J166" s="26" t="s">
        <v>843</v>
      </c>
      <c r="K166" s="26" t="s">
        <v>5</v>
      </c>
      <c r="L166" s="90">
        <v>-2.5430969999999995</v>
      </c>
      <c r="M166" s="140"/>
    </row>
    <row r="167" spans="1:14" ht="22.5" customHeight="1" x14ac:dyDescent="0.25">
      <c r="A167" s="148"/>
      <c r="B167" s="165"/>
      <c r="C167" s="81" t="s">
        <v>123</v>
      </c>
      <c r="D167" s="16" t="s">
        <v>522</v>
      </c>
      <c r="E167" s="26" t="s">
        <v>624</v>
      </c>
      <c r="F167" s="26">
        <v>2</v>
      </c>
      <c r="G167" s="26" t="s">
        <v>583</v>
      </c>
      <c r="H167" s="26">
        <v>12</v>
      </c>
      <c r="I167" s="26">
        <f t="shared" si="6"/>
        <v>14</v>
      </c>
      <c r="J167" s="26" t="s">
        <v>844</v>
      </c>
      <c r="K167" s="16" t="s">
        <v>115</v>
      </c>
      <c r="L167" s="90">
        <v>-3.9316449999999996</v>
      </c>
      <c r="M167" s="140"/>
    </row>
    <row r="168" spans="1:14" ht="22.5" customHeight="1" x14ac:dyDescent="0.25">
      <c r="A168" s="148"/>
      <c r="B168" s="165"/>
      <c r="C168" s="81" t="s">
        <v>124</v>
      </c>
      <c r="D168" s="16" t="s">
        <v>523</v>
      </c>
      <c r="E168" s="26" t="s">
        <v>624</v>
      </c>
      <c r="F168" s="26">
        <v>2</v>
      </c>
      <c r="G168" s="26" t="s">
        <v>628</v>
      </c>
      <c r="H168" s="26">
        <v>14</v>
      </c>
      <c r="I168" s="26">
        <f t="shared" si="6"/>
        <v>16</v>
      </c>
      <c r="J168" s="26" t="s">
        <v>839</v>
      </c>
      <c r="K168" s="26" t="s">
        <v>5</v>
      </c>
      <c r="L168" s="90">
        <v>-4.6264099999999999</v>
      </c>
      <c r="M168" s="141"/>
    </row>
    <row r="169" spans="1:14" ht="25.5" customHeight="1" x14ac:dyDescent="0.25">
      <c r="A169" s="148"/>
      <c r="B169" s="164"/>
      <c r="C169" s="84" t="s">
        <v>125</v>
      </c>
      <c r="D169" s="44" t="s">
        <v>524</v>
      </c>
      <c r="E169" s="38" t="s">
        <v>720</v>
      </c>
      <c r="F169" s="38">
        <v>4</v>
      </c>
      <c r="G169" s="37" t="s">
        <v>628</v>
      </c>
      <c r="H169" s="38">
        <v>14</v>
      </c>
      <c r="I169" s="38">
        <v>14</v>
      </c>
      <c r="J169" s="38" t="s">
        <v>629</v>
      </c>
      <c r="K169" s="38" t="s">
        <v>5</v>
      </c>
      <c r="L169" s="72">
        <v>-3.3026739999999997</v>
      </c>
      <c r="M169" s="133">
        <v>36</v>
      </c>
    </row>
    <row r="170" spans="1:14" ht="25.5" customHeight="1" x14ac:dyDescent="0.25">
      <c r="A170" s="148"/>
      <c r="B170" s="164"/>
      <c r="C170" s="36" t="s">
        <v>126</v>
      </c>
      <c r="D170" s="44" t="s">
        <v>525</v>
      </c>
      <c r="E170" s="44" t="s">
        <v>720</v>
      </c>
      <c r="F170" s="44">
        <v>4</v>
      </c>
      <c r="G170" s="65" t="s">
        <v>583</v>
      </c>
      <c r="H170" s="44">
        <v>12</v>
      </c>
      <c r="I170" s="44">
        <v>12</v>
      </c>
      <c r="J170" s="44" t="s">
        <v>630</v>
      </c>
      <c r="K170" s="44" t="s">
        <v>5</v>
      </c>
      <c r="L170" s="72">
        <v>-2.6079089999999994</v>
      </c>
      <c r="M170" s="134"/>
    </row>
    <row r="171" spans="1:14" ht="25.5" customHeight="1" x14ac:dyDescent="0.25">
      <c r="A171" s="148"/>
      <c r="B171" s="164"/>
      <c r="C171" s="84" t="s">
        <v>127</v>
      </c>
      <c r="D171" s="44" t="s">
        <v>526</v>
      </c>
      <c r="E171" s="38" t="s">
        <v>720</v>
      </c>
      <c r="F171" s="38">
        <v>4</v>
      </c>
      <c r="G171" s="37" t="s">
        <v>581</v>
      </c>
      <c r="H171" s="38">
        <v>10</v>
      </c>
      <c r="I171" s="38">
        <v>10</v>
      </c>
      <c r="J171" s="38" t="s">
        <v>722</v>
      </c>
      <c r="K171" s="38" t="s">
        <v>5</v>
      </c>
      <c r="L171" s="72">
        <v>-1.9136349999999993</v>
      </c>
      <c r="M171" s="138"/>
    </row>
    <row r="172" spans="1:14" ht="142.5" customHeight="1" x14ac:dyDescent="0.25">
      <c r="A172" s="148"/>
      <c r="B172" s="47"/>
      <c r="C172" s="31" t="s">
        <v>154</v>
      </c>
      <c r="D172" s="16" t="s">
        <v>527</v>
      </c>
      <c r="E172" s="16" t="s">
        <v>660</v>
      </c>
      <c r="F172" s="16">
        <v>2</v>
      </c>
      <c r="G172" s="16" t="s">
        <v>657</v>
      </c>
      <c r="H172" s="16">
        <v>16</v>
      </c>
      <c r="I172" s="16">
        <f>H172+3</f>
        <v>19</v>
      </c>
      <c r="J172" s="26" t="s">
        <v>727</v>
      </c>
      <c r="K172" s="16" t="s">
        <v>2</v>
      </c>
      <c r="L172" s="90">
        <v>-4.0995670000000004</v>
      </c>
      <c r="M172" s="71">
        <v>48</v>
      </c>
      <c r="N172" s="10"/>
    </row>
    <row r="173" spans="1:14" ht="26.1" customHeight="1" x14ac:dyDescent="0.25">
      <c r="A173" s="148"/>
      <c r="B173" s="164"/>
      <c r="C173" s="84" t="s">
        <v>156</v>
      </c>
      <c r="D173" s="44" t="s">
        <v>528</v>
      </c>
      <c r="E173" s="38" t="s">
        <v>728</v>
      </c>
      <c r="F173" s="38">
        <v>4</v>
      </c>
      <c r="G173" s="38" t="s">
        <v>583</v>
      </c>
      <c r="H173" s="38">
        <v>12</v>
      </c>
      <c r="I173" s="38">
        <v>12</v>
      </c>
      <c r="J173" s="38" t="s">
        <v>701</v>
      </c>
      <c r="K173" s="38" t="s">
        <v>27</v>
      </c>
      <c r="L173" s="72">
        <v>-2.6501349999999997</v>
      </c>
      <c r="M173" s="133">
        <v>45</v>
      </c>
    </row>
    <row r="174" spans="1:14" ht="26.1" customHeight="1" x14ac:dyDescent="0.25">
      <c r="A174" s="148"/>
      <c r="B174" s="164"/>
      <c r="C174" s="36" t="s">
        <v>157</v>
      </c>
      <c r="D174" s="44" t="s">
        <v>529</v>
      </c>
      <c r="E174" s="44" t="s">
        <v>729</v>
      </c>
      <c r="F174" s="44">
        <v>8</v>
      </c>
      <c r="G174" s="44" t="s">
        <v>583</v>
      </c>
      <c r="H174" s="44">
        <v>12</v>
      </c>
      <c r="I174" s="44">
        <v>12</v>
      </c>
      <c r="J174" s="44" t="s">
        <v>730</v>
      </c>
      <c r="K174" s="44" t="s">
        <v>27</v>
      </c>
      <c r="L174" s="72">
        <v>-3.3444089999999997</v>
      </c>
      <c r="M174" s="134"/>
    </row>
    <row r="175" spans="1:14" ht="26.1" customHeight="1" x14ac:dyDescent="0.25">
      <c r="A175" s="148"/>
      <c r="B175" s="164"/>
      <c r="C175" s="84" t="s">
        <v>158</v>
      </c>
      <c r="D175" s="44" t="s">
        <v>530</v>
      </c>
      <c r="E175" s="38" t="s">
        <v>646</v>
      </c>
      <c r="F175" s="38">
        <v>12</v>
      </c>
      <c r="G175" s="38" t="s">
        <v>583</v>
      </c>
      <c r="H175" s="38">
        <v>12</v>
      </c>
      <c r="I175" s="38">
        <v>12</v>
      </c>
      <c r="J175" s="38" t="s">
        <v>731</v>
      </c>
      <c r="K175" s="38" t="s">
        <v>27</v>
      </c>
      <c r="L175" s="72">
        <v>-3.966997000000001</v>
      </c>
      <c r="M175" s="138"/>
    </row>
    <row r="176" spans="1:14" ht="125.45" customHeight="1" x14ac:dyDescent="0.25">
      <c r="A176" s="148"/>
      <c r="B176" s="15"/>
      <c r="C176" s="81" t="s">
        <v>229</v>
      </c>
      <c r="D176" s="16" t="s">
        <v>531</v>
      </c>
      <c r="E176" s="26" t="s">
        <v>643</v>
      </c>
      <c r="F176" s="26">
        <v>6</v>
      </c>
      <c r="G176" s="26" t="s">
        <v>732</v>
      </c>
      <c r="H176" s="26">
        <v>13</v>
      </c>
      <c r="I176" s="16"/>
      <c r="J176" s="26" t="s">
        <v>733</v>
      </c>
      <c r="K176" s="26" t="s">
        <v>27</v>
      </c>
      <c r="L176" s="90">
        <v>-6.7003940000000011</v>
      </c>
      <c r="M176" s="71">
        <v>45</v>
      </c>
    </row>
    <row r="177" spans="1:13" ht="29.45" customHeight="1" x14ac:dyDescent="0.25">
      <c r="A177" s="148"/>
      <c r="B177" s="164"/>
      <c r="C177" s="36" t="s">
        <v>244</v>
      </c>
      <c r="D177" s="44" t="s">
        <v>532</v>
      </c>
      <c r="E177" s="44" t="s">
        <v>660</v>
      </c>
      <c r="F177" s="44">
        <v>2</v>
      </c>
      <c r="G177" s="44" t="s">
        <v>583</v>
      </c>
      <c r="H177" s="44">
        <v>12</v>
      </c>
      <c r="I177" s="44">
        <v>12</v>
      </c>
      <c r="J177" s="44" t="s">
        <v>734</v>
      </c>
      <c r="K177" s="44" t="s">
        <v>25</v>
      </c>
      <c r="L177" s="72">
        <v>-3.3586480000000005</v>
      </c>
      <c r="M177" s="133">
        <v>45</v>
      </c>
    </row>
    <row r="178" spans="1:13" ht="29.45" customHeight="1" x14ac:dyDescent="0.25">
      <c r="A178" s="148"/>
      <c r="B178" s="164"/>
      <c r="C178" s="84" t="s">
        <v>245</v>
      </c>
      <c r="D178" s="44" t="s">
        <v>533</v>
      </c>
      <c r="E178" s="38" t="s">
        <v>643</v>
      </c>
      <c r="F178" s="38">
        <v>6</v>
      </c>
      <c r="G178" s="38" t="s">
        <v>583</v>
      </c>
      <c r="H178" s="38">
        <v>12</v>
      </c>
      <c r="I178" s="38">
        <v>12</v>
      </c>
      <c r="J178" s="38" t="s">
        <v>735</v>
      </c>
      <c r="K178" s="38" t="s">
        <v>25</v>
      </c>
      <c r="L178" s="72">
        <v>-4.0529219999999988</v>
      </c>
      <c r="M178" s="134"/>
    </row>
    <row r="179" spans="1:13" ht="29.45" customHeight="1" x14ac:dyDescent="0.25">
      <c r="A179" s="148"/>
      <c r="B179" s="164"/>
      <c r="C179" s="36" t="s">
        <v>246</v>
      </c>
      <c r="D179" s="44" t="s">
        <v>534</v>
      </c>
      <c r="E179" s="44" t="s">
        <v>646</v>
      </c>
      <c r="F179" s="44">
        <v>12</v>
      </c>
      <c r="G179" s="44" t="s">
        <v>583</v>
      </c>
      <c r="H179" s="44">
        <v>12</v>
      </c>
      <c r="I179" s="44">
        <v>12</v>
      </c>
      <c r="J179" s="44" t="s">
        <v>736</v>
      </c>
      <c r="K179" s="44" t="s">
        <v>25</v>
      </c>
      <c r="L179" s="72">
        <v>-5.0943330000000007</v>
      </c>
      <c r="M179" s="138"/>
    </row>
    <row r="180" spans="1:13" ht="89.45" customHeight="1" x14ac:dyDescent="0.25">
      <c r="A180" s="148"/>
      <c r="B180" s="48"/>
      <c r="C180" s="81" t="s">
        <v>247</v>
      </c>
      <c r="D180" s="16" t="s">
        <v>535</v>
      </c>
      <c r="E180" s="26" t="s">
        <v>643</v>
      </c>
      <c r="F180" s="26">
        <v>6</v>
      </c>
      <c r="G180" s="26" t="s">
        <v>583</v>
      </c>
      <c r="H180" s="26">
        <v>12</v>
      </c>
      <c r="I180" s="26">
        <v>12</v>
      </c>
      <c r="J180" s="26" t="s">
        <v>663</v>
      </c>
      <c r="K180" s="26" t="s">
        <v>25</v>
      </c>
      <c r="L180" s="90">
        <v>-4.0529219999999988</v>
      </c>
      <c r="M180" s="71">
        <v>45</v>
      </c>
    </row>
    <row r="181" spans="1:13" ht="73.5" customHeight="1" x14ac:dyDescent="0.25">
      <c r="A181" s="148"/>
      <c r="B181" s="164"/>
      <c r="C181" s="36" t="s">
        <v>248</v>
      </c>
      <c r="D181" s="44" t="s">
        <v>536</v>
      </c>
      <c r="E181" s="44" t="s">
        <v>660</v>
      </c>
      <c r="F181" s="44">
        <v>2</v>
      </c>
      <c r="G181" s="44" t="s">
        <v>583</v>
      </c>
      <c r="H181" s="44">
        <v>15</v>
      </c>
      <c r="I181" s="44">
        <v>16</v>
      </c>
      <c r="J181" s="44" t="s">
        <v>737</v>
      </c>
      <c r="K181" s="44" t="s">
        <v>25</v>
      </c>
      <c r="L181" s="72">
        <v>-3.9316449999999996</v>
      </c>
      <c r="M181" s="133">
        <v>45</v>
      </c>
    </row>
    <row r="182" spans="1:13" ht="73.5" customHeight="1" x14ac:dyDescent="0.25">
      <c r="A182" s="148"/>
      <c r="B182" s="164"/>
      <c r="C182" s="84" t="s">
        <v>249</v>
      </c>
      <c r="D182" s="44" t="s">
        <v>537</v>
      </c>
      <c r="E182" s="38" t="s">
        <v>643</v>
      </c>
      <c r="F182" s="38">
        <v>6</v>
      </c>
      <c r="G182" s="38" t="s">
        <v>583</v>
      </c>
      <c r="H182" s="38">
        <v>15</v>
      </c>
      <c r="I182" s="38">
        <v>16</v>
      </c>
      <c r="J182" s="38" t="s">
        <v>738</v>
      </c>
      <c r="K182" s="38" t="s">
        <v>25</v>
      </c>
      <c r="L182" s="72">
        <v>-4.6264099999999999</v>
      </c>
      <c r="M182" s="138"/>
    </row>
    <row r="183" spans="1:13" s="1" customFormat="1" ht="123.6" customHeight="1" x14ac:dyDescent="0.25">
      <c r="A183" s="148"/>
      <c r="B183" s="15"/>
      <c r="C183" s="81" t="s">
        <v>250</v>
      </c>
      <c r="D183" s="16" t="s">
        <v>538</v>
      </c>
      <c r="E183" s="26" t="s">
        <v>643</v>
      </c>
      <c r="F183" s="26">
        <v>6</v>
      </c>
      <c r="G183" s="26" t="s">
        <v>583</v>
      </c>
      <c r="H183" s="26">
        <v>15</v>
      </c>
      <c r="I183" s="26">
        <v>17</v>
      </c>
      <c r="J183" s="26" t="s">
        <v>739</v>
      </c>
      <c r="K183" s="26" t="s">
        <v>25</v>
      </c>
      <c r="L183" s="90">
        <v>-5.7237950000000009</v>
      </c>
      <c r="M183" s="71">
        <v>45</v>
      </c>
    </row>
    <row r="184" spans="1:13" s="1" customFormat="1" ht="165" customHeight="1" thickBot="1" x14ac:dyDescent="0.3">
      <c r="A184" s="149"/>
      <c r="B184" s="39"/>
      <c r="C184" s="46" t="s">
        <v>251</v>
      </c>
      <c r="D184" s="41" t="s">
        <v>539</v>
      </c>
      <c r="E184" s="41" t="s">
        <v>643</v>
      </c>
      <c r="F184" s="41">
        <v>6</v>
      </c>
      <c r="G184" s="41" t="s">
        <v>583</v>
      </c>
      <c r="H184" s="41">
        <v>15</v>
      </c>
      <c r="I184" s="41">
        <v>17</v>
      </c>
      <c r="J184" s="41" t="s">
        <v>740</v>
      </c>
      <c r="K184" s="41" t="s">
        <v>25</v>
      </c>
      <c r="L184" s="74">
        <v>-4.6264099999999999</v>
      </c>
      <c r="M184" s="88">
        <v>45</v>
      </c>
    </row>
    <row r="185" spans="1:13" ht="36" x14ac:dyDescent="0.25">
      <c r="A185" s="155" t="s">
        <v>34</v>
      </c>
      <c r="B185" s="152"/>
      <c r="C185" s="34" t="s">
        <v>163</v>
      </c>
      <c r="D185" s="33" t="s">
        <v>540</v>
      </c>
      <c r="E185" s="33" t="s">
        <v>205</v>
      </c>
      <c r="F185" s="33">
        <v>6</v>
      </c>
      <c r="G185" s="35" t="s">
        <v>741</v>
      </c>
      <c r="H185" s="35" t="s">
        <v>208</v>
      </c>
      <c r="I185" s="33">
        <f>12+12+6</f>
        <v>30</v>
      </c>
      <c r="J185" s="33" t="s">
        <v>742</v>
      </c>
      <c r="K185" s="33" t="s">
        <v>8</v>
      </c>
      <c r="L185" s="75">
        <v>-10.372092</v>
      </c>
      <c r="M185" s="131">
        <v>49</v>
      </c>
    </row>
    <row r="186" spans="1:13" ht="36" x14ac:dyDescent="0.25">
      <c r="A186" s="156"/>
      <c r="B186" s="153"/>
      <c r="C186" s="8" t="s">
        <v>164</v>
      </c>
      <c r="D186" s="4" t="s">
        <v>541</v>
      </c>
      <c r="E186" s="4" t="s">
        <v>205</v>
      </c>
      <c r="F186" s="4">
        <v>6</v>
      </c>
      <c r="G186" s="5" t="s">
        <v>743</v>
      </c>
      <c r="H186" s="5" t="s">
        <v>209</v>
      </c>
      <c r="I186" s="4">
        <f>10+12+6</f>
        <v>28</v>
      </c>
      <c r="J186" s="6" t="s">
        <v>744</v>
      </c>
      <c r="K186" s="4" t="s">
        <v>8</v>
      </c>
      <c r="L186" s="77">
        <v>-9.6778179999999985</v>
      </c>
      <c r="M186" s="137"/>
    </row>
    <row r="187" spans="1:13" ht="36" x14ac:dyDescent="0.25">
      <c r="A187" s="156"/>
      <c r="B187" s="153"/>
      <c r="C187" s="8" t="s">
        <v>165</v>
      </c>
      <c r="D187" s="4" t="s">
        <v>542</v>
      </c>
      <c r="E187" s="4" t="s">
        <v>205</v>
      </c>
      <c r="F187" s="4">
        <v>6</v>
      </c>
      <c r="G187" s="5" t="s">
        <v>745</v>
      </c>
      <c r="H187" s="5" t="s">
        <v>210</v>
      </c>
      <c r="I187" s="4">
        <f>8+12+6</f>
        <v>26</v>
      </c>
      <c r="J187" s="4" t="s">
        <v>746</v>
      </c>
      <c r="K187" s="4" t="s">
        <v>8</v>
      </c>
      <c r="L187" s="77">
        <v>-8.9835440000000002</v>
      </c>
      <c r="M187" s="137"/>
    </row>
    <row r="188" spans="1:13" ht="36" x14ac:dyDescent="0.25">
      <c r="A188" s="156"/>
      <c r="B188" s="153"/>
      <c r="C188" s="8" t="s">
        <v>166</v>
      </c>
      <c r="D188" s="4" t="s">
        <v>543</v>
      </c>
      <c r="E188" s="4" t="s">
        <v>207</v>
      </c>
      <c r="F188" s="4">
        <v>4</v>
      </c>
      <c r="G188" s="5" t="s">
        <v>741</v>
      </c>
      <c r="H188" s="5" t="s">
        <v>208</v>
      </c>
      <c r="I188" s="4">
        <f>12+12+6</f>
        <v>30</v>
      </c>
      <c r="J188" s="4" t="s">
        <v>832</v>
      </c>
      <c r="K188" s="4" t="s">
        <v>8</v>
      </c>
      <c r="L188" s="77">
        <v>-10.024954999999999</v>
      </c>
      <c r="M188" s="137"/>
    </row>
    <row r="189" spans="1:13" ht="36" x14ac:dyDescent="0.25">
      <c r="A189" s="156"/>
      <c r="B189" s="153"/>
      <c r="C189" s="8" t="s">
        <v>167</v>
      </c>
      <c r="D189" s="4" t="s">
        <v>544</v>
      </c>
      <c r="E189" s="4" t="s">
        <v>207</v>
      </c>
      <c r="F189" s="4">
        <v>4</v>
      </c>
      <c r="G189" s="5" t="s">
        <v>747</v>
      </c>
      <c r="H189" s="5" t="s">
        <v>211</v>
      </c>
      <c r="I189" s="4">
        <v>21</v>
      </c>
      <c r="J189" s="4" t="s">
        <v>833</v>
      </c>
      <c r="K189" s="4" t="s">
        <v>8</v>
      </c>
      <c r="L189" s="77">
        <v>-6.900230999999998</v>
      </c>
      <c r="M189" s="137"/>
    </row>
    <row r="190" spans="1:13" ht="36" x14ac:dyDescent="0.25">
      <c r="A190" s="156"/>
      <c r="B190" s="153"/>
      <c r="C190" s="8" t="s">
        <v>168</v>
      </c>
      <c r="D190" s="4" t="s">
        <v>545</v>
      </c>
      <c r="E190" s="4" t="s">
        <v>207</v>
      </c>
      <c r="F190" s="4">
        <v>4</v>
      </c>
      <c r="G190" s="5" t="s">
        <v>748</v>
      </c>
      <c r="H190" s="5" t="s">
        <v>212</v>
      </c>
      <c r="I190" s="4">
        <v>20</v>
      </c>
      <c r="J190" s="4" t="s">
        <v>564</v>
      </c>
      <c r="K190" s="4" t="s">
        <v>8</v>
      </c>
      <c r="L190" s="77">
        <v>-6.5113590000000006</v>
      </c>
      <c r="M190" s="137"/>
    </row>
    <row r="191" spans="1:13" ht="36" x14ac:dyDescent="0.25">
      <c r="A191" s="156"/>
      <c r="B191" s="153"/>
      <c r="C191" s="8" t="s">
        <v>169</v>
      </c>
      <c r="D191" s="4" t="s">
        <v>546</v>
      </c>
      <c r="E191" s="4" t="s">
        <v>207</v>
      </c>
      <c r="F191" s="4">
        <v>4</v>
      </c>
      <c r="G191" s="5" t="s">
        <v>749</v>
      </c>
      <c r="H191" s="5" t="s">
        <v>213</v>
      </c>
      <c r="I191" s="4">
        <f>13+6</f>
        <v>19</v>
      </c>
      <c r="J191" s="4" t="s">
        <v>831</v>
      </c>
      <c r="K191" s="4" t="s">
        <v>8</v>
      </c>
      <c r="L191" s="77">
        <v>-6.2059569999999997</v>
      </c>
      <c r="M191" s="137"/>
    </row>
    <row r="192" spans="1:13" ht="36" x14ac:dyDescent="0.25">
      <c r="A192" s="156"/>
      <c r="B192" s="153"/>
      <c r="C192" s="8" t="s">
        <v>170</v>
      </c>
      <c r="D192" s="4" t="s">
        <v>547</v>
      </c>
      <c r="E192" s="4" t="s">
        <v>207</v>
      </c>
      <c r="F192" s="4">
        <v>4</v>
      </c>
      <c r="G192" s="5" t="s">
        <v>750</v>
      </c>
      <c r="H192" s="5" t="s">
        <v>214</v>
      </c>
      <c r="I192" s="4">
        <v>18</v>
      </c>
      <c r="J192" s="4" t="s">
        <v>834</v>
      </c>
      <c r="K192" s="4" t="s">
        <v>8</v>
      </c>
      <c r="L192" s="77">
        <v>-5.8165940000000003</v>
      </c>
      <c r="M192" s="137"/>
    </row>
    <row r="193" spans="1:13" ht="36" x14ac:dyDescent="0.25">
      <c r="A193" s="156"/>
      <c r="B193" s="153"/>
      <c r="C193" s="8" t="s">
        <v>171</v>
      </c>
      <c r="D193" s="4" t="s">
        <v>548</v>
      </c>
      <c r="E193" s="4" t="s">
        <v>207</v>
      </c>
      <c r="F193" s="4">
        <v>4</v>
      </c>
      <c r="G193" s="5" t="s">
        <v>751</v>
      </c>
      <c r="H193" s="5" t="s">
        <v>215</v>
      </c>
      <c r="I193" s="4">
        <v>17</v>
      </c>
      <c r="J193" s="4" t="s">
        <v>835</v>
      </c>
      <c r="K193" s="4" t="s">
        <v>8</v>
      </c>
      <c r="L193" s="77">
        <v>-5.5116829999999997</v>
      </c>
      <c r="M193" s="137"/>
    </row>
    <row r="194" spans="1:13" ht="36" x14ac:dyDescent="0.25">
      <c r="A194" s="156"/>
      <c r="B194" s="153"/>
      <c r="C194" s="8" t="s">
        <v>172</v>
      </c>
      <c r="D194" s="4" t="s">
        <v>549</v>
      </c>
      <c r="E194" s="4" t="s">
        <v>207</v>
      </c>
      <c r="F194" s="4">
        <v>4</v>
      </c>
      <c r="G194" s="5" t="s">
        <v>752</v>
      </c>
      <c r="H194" s="5" t="s">
        <v>216</v>
      </c>
      <c r="I194" s="4">
        <v>16</v>
      </c>
      <c r="J194" s="4" t="s">
        <v>836</v>
      </c>
      <c r="K194" s="4" t="s">
        <v>8</v>
      </c>
      <c r="L194" s="77">
        <v>-5.1223200000000002</v>
      </c>
      <c r="M194" s="130"/>
    </row>
    <row r="195" spans="1:13" ht="54" customHeight="1" x14ac:dyDescent="0.25">
      <c r="A195" s="156"/>
      <c r="B195" s="146"/>
      <c r="C195" s="84" t="s">
        <v>554</v>
      </c>
      <c r="D195" s="38" t="s">
        <v>550</v>
      </c>
      <c r="E195" s="38" t="s">
        <v>753</v>
      </c>
      <c r="F195" s="38">
        <v>20</v>
      </c>
      <c r="G195" s="49" t="s">
        <v>754</v>
      </c>
      <c r="H195" s="38">
        <v>1</v>
      </c>
      <c r="I195" s="38"/>
      <c r="J195" s="44" t="s">
        <v>837</v>
      </c>
      <c r="K195" s="38" t="s">
        <v>755</v>
      </c>
      <c r="L195" s="72">
        <v>-16.157544999999999</v>
      </c>
      <c r="M195" s="126">
        <v>47</v>
      </c>
    </row>
    <row r="196" spans="1:13" ht="54" customHeight="1" thickBot="1" x14ac:dyDescent="0.3">
      <c r="A196" s="157"/>
      <c r="B196" s="159"/>
      <c r="C196" s="46" t="s">
        <v>553</v>
      </c>
      <c r="D196" s="41" t="s">
        <v>551</v>
      </c>
      <c r="E196" s="41" t="s">
        <v>753</v>
      </c>
      <c r="F196" s="41">
        <v>16</v>
      </c>
      <c r="G196" s="50" t="s">
        <v>754</v>
      </c>
      <c r="H196" s="41">
        <v>1</v>
      </c>
      <c r="I196" s="41"/>
      <c r="J196" s="41" t="s">
        <v>838</v>
      </c>
      <c r="K196" s="41" t="s">
        <v>755</v>
      </c>
      <c r="L196" s="74">
        <v>-4.1579960000000007</v>
      </c>
      <c r="M196" s="136"/>
    </row>
    <row r="197" spans="1:13" ht="58.5" customHeight="1" x14ac:dyDescent="0.25">
      <c r="A197" s="168" t="s">
        <v>19</v>
      </c>
      <c r="B197" s="150"/>
      <c r="C197" s="19" t="s">
        <v>217</v>
      </c>
      <c r="D197" s="21" t="s">
        <v>434</v>
      </c>
      <c r="E197" s="21" t="s">
        <v>756</v>
      </c>
      <c r="F197" s="21">
        <v>1</v>
      </c>
      <c r="G197" s="21" t="s">
        <v>583</v>
      </c>
      <c r="H197" s="21">
        <v>12</v>
      </c>
      <c r="I197" s="21">
        <v>12</v>
      </c>
      <c r="J197" s="21" t="s">
        <v>659</v>
      </c>
      <c r="K197" s="21" t="s">
        <v>2</v>
      </c>
      <c r="L197" s="89">
        <v>-6.5683150000000001</v>
      </c>
      <c r="M197" s="120">
        <v>41</v>
      </c>
    </row>
    <row r="198" spans="1:13" ht="58.5" customHeight="1" x14ac:dyDescent="0.25">
      <c r="A198" s="169"/>
      <c r="B198" s="151"/>
      <c r="C198" s="81" t="s">
        <v>218</v>
      </c>
      <c r="D198" s="26" t="s">
        <v>435</v>
      </c>
      <c r="E198" s="26" t="s">
        <v>756</v>
      </c>
      <c r="F198" s="26">
        <v>1</v>
      </c>
      <c r="G198" s="26" t="s">
        <v>628</v>
      </c>
      <c r="H198" s="26">
        <v>14</v>
      </c>
      <c r="I198" s="26">
        <v>14</v>
      </c>
      <c r="J198" s="26" t="s">
        <v>757</v>
      </c>
      <c r="K198" s="26" t="s">
        <v>2</v>
      </c>
      <c r="L198" s="90">
        <v>-7.2625890000000002</v>
      </c>
      <c r="M198" s="121"/>
    </row>
    <row r="199" spans="1:13" ht="58.5" customHeight="1" thickBot="1" x14ac:dyDescent="0.3">
      <c r="A199" s="170"/>
      <c r="B199" s="158"/>
      <c r="C199" s="27" t="s">
        <v>219</v>
      </c>
      <c r="D199" s="18" t="s">
        <v>436</v>
      </c>
      <c r="E199" s="18" t="s">
        <v>756</v>
      </c>
      <c r="F199" s="18">
        <v>1</v>
      </c>
      <c r="G199" s="18" t="s">
        <v>657</v>
      </c>
      <c r="H199" s="18">
        <v>16</v>
      </c>
      <c r="I199" s="18">
        <v>16</v>
      </c>
      <c r="J199" s="18" t="s">
        <v>758</v>
      </c>
      <c r="K199" s="18" t="s">
        <v>2</v>
      </c>
      <c r="L199" s="92">
        <v>-7.9568630000000002</v>
      </c>
      <c r="M199" s="122"/>
    </row>
    <row r="200" spans="1:13" ht="48.6" customHeight="1" x14ac:dyDescent="0.25">
      <c r="A200" s="172" t="s">
        <v>20</v>
      </c>
      <c r="B200" s="178"/>
      <c r="C200" s="51" t="s">
        <v>220</v>
      </c>
      <c r="D200" s="42" t="s">
        <v>371</v>
      </c>
      <c r="E200" s="42" t="s">
        <v>759</v>
      </c>
      <c r="F200" s="42">
        <v>2</v>
      </c>
      <c r="G200" s="42" t="s">
        <v>577</v>
      </c>
      <c r="H200" s="42">
        <v>8</v>
      </c>
      <c r="I200" s="42">
        <v>8</v>
      </c>
      <c r="J200" s="42" t="s">
        <v>760</v>
      </c>
      <c r="K200" s="42" t="s">
        <v>5</v>
      </c>
      <c r="L200" s="75">
        <v>-4.1579960000000007</v>
      </c>
      <c r="M200" s="123">
        <v>42</v>
      </c>
    </row>
    <row r="201" spans="1:13" ht="48.6" customHeight="1" x14ac:dyDescent="0.25">
      <c r="A201" s="173"/>
      <c r="B201" s="179"/>
      <c r="C201" s="8" t="s">
        <v>221</v>
      </c>
      <c r="D201" s="4" t="s">
        <v>372</v>
      </c>
      <c r="E201" s="4" t="s">
        <v>759</v>
      </c>
      <c r="F201" s="4">
        <v>2</v>
      </c>
      <c r="G201" s="4" t="s">
        <v>583</v>
      </c>
      <c r="H201" s="4">
        <v>12</v>
      </c>
      <c r="I201" s="4">
        <v>12</v>
      </c>
      <c r="J201" s="4" t="s">
        <v>761</v>
      </c>
      <c r="K201" s="4" t="s">
        <v>5</v>
      </c>
      <c r="L201" s="77">
        <v>-5.5465440000000008</v>
      </c>
      <c r="M201" s="124"/>
    </row>
    <row r="202" spans="1:13" ht="48.6" customHeight="1" x14ac:dyDescent="0.25">
      <c r="A202" s="173"/>
      <c r="B202" s="179"/>
      <c r="C202" s="52" t="s">
        <v>222</v>
      </c>
      <c r="D202" s="6" t="s">
        <v>373</v>
      </c>
      <c r="E202" s="6" t="s">
        <v>759</v>
      </c>
      <c r="F202" s="6">
        <v>2</v>
      </c>
      <c r="G202" s="6" t="s">
        <v>762</v>
      </c>
      <c r="H202" s="6">
        <v>18</v>
      </c>
      <c r="I202" s="6">
        <v>18</v>
      </c>
      <c r="J202" s="6" t="s">
        <v>763</v>
      </c>
      <c r="K202" s="6" t="s">
        <v>5</v>
      </c>
      <c r="L202" s="77">
        <v>-7.6298569999999994</v>
      </c>
      <c r="M202" s="125"/>
    </row>
    <row r="203" spans="1:13" ht="102" customHeight="1" x14ac:dyDescent="0.25">
      <c r="A203" s="173"/>
      <c r="B203" s="43"/>
      <c r="C203" s="36" t="s">
        <v>224</v>
      </c>
      <c r="D203" s="44" t="s">
        <v>374</v>
      </c>
      <c r="E203" s="44" t="s">
        <v>759</v>
      </c>
      <c r="F203" s="44">
        <v>2</v>
      </c>
      <c r="G203" s="44" t="s">
        <v>764</v>
      </c>
      <c r="H203" s="44">
        <v>12</v>
      </c>
      <c r="I203" s="44">
        <v>12</v>
      </c>
      <c r="J203" s="44" t="s">
        <v>765</v>
      </c>
      <c r="K203" s="44" t="s">
        <v>5</v>
      </c>
      <c r="L203" s="72">
        <v>-7.5817389999999989</v>
      </c>
      <c r="M203" s="73">
        <v>42</v>
      </c>
    </row>
    <row r="204" spans="1:13" ht="120.95" customHeight="1" thickBot="1" x14ac:dyDescent="0.3">
      <c r="A204" s="174"/>
      <c r="B204" s="13"/>
      <c r="C204" s="97" t="s">
        <v>223</v>
      </c>
      <c r="D204" s="14" t="s">
        <v>375</v>
      </c>
      <c r="E204" s="14" t="s">
        <v>759</v>
      </c>
      <c r="F204" s="14">
        <v>2</v>
      </c>
      <c r="G204" s="14" t="s">
        <v>766</v>
      </c>
      <c r="H204" s="14">
        <v>11</v>
      </c>
      <c r="I204" s="14">
        <v>11</v>
      </c>
      <c r="J204" s="14" t="s">
        <v>767</v>
      </c>
      <c r="K204" s="14" t="s">
        <v>5</v>
      </c>
      <c r="L204" s="79">
        <v>-16.157544999999999</v>
      </c>
      <c r="M204" s="98">
        <v>42</v>
      </c>
    </row>
    <row r="205" spans="1:13" ht="48" customHeight="1" x14ac:dyDescent="0.25">
      <c r="A205" s="180" t="s">
        <v>22</v>
      </c>
      <c r="B205" s="183"/>
      <c r="C205" s="19" t="s">
        <v>225</v>
      </c>
      <c r="D205" s="21" t="s">
        <v>437</v>
      </c>
      <c r="E205" s="21" t="s">
        <v>665</v>
      </c>
      <c r="F205" s="21">
        <v>3</v>
      </c>
      <c r="G205" s="21" t="s">
        <v>768</v>
      </c>
      <c r="H205" s="21">
        <v>8</v>
      </c>
      <c r="I205" s="21">
        <f>H205+5</f>
        <v>13</v>
      </c>
      <c r="J205" s="21" t="s">
        <v>769</v>
      </c>
      <c r="K205" s="21" t="s">
        <v>5</v>
      </c>
      <c r="L205" s="89">
        <v>-10.29255</v>
      </c>
      <c r="M205" s="120">
        <v>25</v>
      </c>
    </row>
    <row r="206" spans="1:13" ht="48" customHeight="1" x14ac:dyDescent="0.25">
      <c r="A206" s="181"/>
      <c r="B206" s="165"/>
      <c r="C206" s="81" t="s">
        <v>226</v>
      </c>
      <c r="D206" s="16" t="s">
        <v>439</v>
      </c>
      <c r="E206" s="26" t="s">
        <v>728</v>
      </c>
      <c r="F206" s="26">
        <v>4</v>
      </c>
      <c r="G206" s="26" t="s">
        <v>768</v>
      </c>
      <c r="H206" s="26">
        <v>8</v>
      </c>
      <c r="I206" s="16">
        <f t="shared" ref="I206:I207" si="7">H206+5</f>
        <v>13</v>
      </c>
      <c r="J206" s="16" t="s">
        <v>770</v>
      </c>
      <c r="K206" s="26" t="s">
        <v>5</v>
      </c>
      <c r="L206" s="90">
        <v>-10.465872999999998</v>
      </c>
      <c r="M206" s="121"/>
    </row>
    <row r="207" spans="1:13" ht="48" customHeight="1" x14ac:dyDescent="0.25">
      <c r="A207" s="181"/>
      <c r="B207" s="165"/>
      <c r="C207" s="31" t="s">
        <v>227</v>
      </c>
      <c r="D207" s="16" t="s">
        <v>438</v>
      </c>
      <c r="E207" s="16" t="s">
        <v>729</v>
      </c>
      <c r="F207" s="16">
        <v>8</v>
      </c>
      <c r="G207" s="16" t="s">
        <v>768</v>
      </c>
      <c r="H207" s="16">
        <v>8</v>
      </c>
      <c r="I207" s="16">
        <f t="shared" si="7"/>
        <v>13</v>
      </c>
      <c r="J207" s="16" t="s">
        <v>771</v>
      </c>
      <c r="K207" s="16" t="s">
        <v>5</v>
      </c>
      <c r="L207" s="90">
        <v>-11.160147</v>
      </c>
      <c r="M207" s="121"/>
    </row>
    <row r="208" spans="1:13" ht="48" customHeight="1" thickBot="1" x14ac:dyDescent="0.3">
      <c r="A208" s="182"/>
      <c r="B208" s="184"/>
      <c r="C208" s="83" t="s">
        <v>228</v>
      </c>
      <c r="D208" s="18" t="s">
        <v>440</v>
      </c>
      <c r="E208" s="29" t="s">
        <v>646</v>
      </c>
      <c r="F208" s="29">
        <v>12</v>
      </c>
      <c r="G208" s="29" t="s">
        <v>768</v>
      </c>
      <c r="H208" s="29">
        <v>8</v>
      </c>
      <c r="I208" s="18">
        <f>H208+5</f>
        <v>13</v>
      </c>
      <c r="J208" s="18" t="s">
        <v>772</v>
      </c>
      <c r="K208" s="29" t="s">
        <v>5</v>
      </c>
      <c r="L208" s="92">
        <v>-11.854911999999999</v>
      </c>
      <c r="M208" s="122"/>
    </row>
    <row r="209" spans="1:13" ht="38.1" customHeight="1" x14ac:dyDescent="0.25">
      <c r="A209" s="155" t="s">
        <v>31</v>
      </c>
      <c r="B209" s="152"/>
      <c r="C209" s="34" t="s">
        <v>252</v>
      </c>
      <c r="D209" s="33" t="s">
        <v>441</v>
      </c>
      <c r="E209" s="33" t="s">
        <v>660</v>
      </c>
      <c r="F209" s="33">
        <v>2</v>
      </c>
      <c r="G209" s="33" t="s">
        <v>773</v>
      </c>
      <c r="H209" s="33">
        <v>18</v>
      </c>
      <c r="I209" s="33">
        <v>18</v>
      </c>
      <c r="J209" s="33" t="s">
        <v>774</v>
      </c>
      <c r="K209" s="33" t="s">
        <v>27</v>
      </c>
      <c r="L209" s="75">
        <v>-4.3440849999999998</v>
      </c>
      <c r="M209" s="131">
        <v>45</v>
      </c>
    </row>
    <row r="210" spans="1:13" ht="38.1" customHeight="1" x14ac:dyDescent="0.25">
      <c r="A210" s="156"/>
      <c r="B210" s="153"/>
      <c r="C210" s="52" t="s">
        <v>253</v>
      </c>
      <c r="D210" s="6" t="s">
        <v>442</v>
      </c>
      <c r="E210" s="6" t="s">
        <v>665</v>
      </c>
      <c r="F210" s="6">
        <v>3</v>
      </c>
      <c r="G210" s="6" t="s">
        <v>773</v>
      </c>
      <c r="H210" s="6">
        <v>18</v>
      </c>
      <c r="I210" s="4">
        <v>18</v>
      </c>
      <c r="J210" s="6" t="s">
        <v>775</v>
      </c>
      <c r="K210" s="6" t="s">
        <v>27</v>
      </c>
      <c r="L210" s="77">
        <v>-4.5178989999999999</v>
      </c>
      <c r="M210" s="137"/>
    </row>
    <row r="211" spans="1:13" ht="38.1" customHeight="1" thickBot="1" x14ac:dyDescent="0.3">
      <c r="A211" s="157"/>
      <c r="B211" s="154"/>
      <c r="C211" s="12" t="s">
        <v>254</v>
      </c>
      <c r="D211" s="11" t="s">
        <v>443</v>
      </c>
      <c r="E211" s="11" t="s">
        <v>643</v>
      </c>
      <c r="F211" s="11">
        <v>6</v>
      </c>
      <c r="G211" s="11" t="s">
        <v>773</v>
      </c>
      <c r="H211" s="11">
        <v>18</v>
      </c>
      <c r="I211" s="11">
        <v>18</v>
      </c>
      <c r="J211" s="11" t="s">
        <v>776</v>
      </c>
      <c r="K211" s="11" t="s">
        <v>27</v>
      </c>
      <c r="L211" s="79">
        <v>-5.0383589999999998</v>
      </c>
      <c r="M211" s="132"/>
    </row>
    <row r="212" spans="1:13" ht="36.6" customHeight="1" x14ac:dyDescent="0.25">
      <c r="A212" s="147" t="s">
        <v>21</v>
      </c>
      <c r="B212" s="186"/>
      <c r="C212" s="19" t="s">
        <v>255</v>
      </c>
      <c r="D212" s="21" t="s">
        <v>444</v>
      </c>
      <c r="E212" s="21" t="s">
        <v>643</v>
      </c>
      <c r="F212" s="21">
        <v>6</v>
      </c>
      <c r="G212" s="21" t="s">
        <v>569</v>
      </c>
      <c r="H212" s="21">
        <v>6</v>
      </c>
      <c r="I212" s="21">
        <v>6</v>
      </c>
      <c r="J212" s="21" t="s">
        <v>777</v>
      </c>
      <c r="K212" s="21" t="s">
        <v>5</v>
      </c>
      <c r="L212" s="89">
        <v>-8.0535899999999998</v>
      </c>
      <c r="M212" s="120">
        <v>32</v>
      </c>
    </row>
    <row r="213" spans="1:13" ht="36.6" customHeight="1" x14ac:dyDescent="0.25">
      <c r="A213" s="148"/>
      <c r="B213" s="187"/>
      <c r="C213" s="81" t="s">
        <v>256</v>
      </c>
      <c r="D213" s="26" t="s">
        <v>445</v>
      </c>
      <c r="E213" s="26" t="s">
        <v>729</v>
      </c>
      <c r="F213" s="26">
        <v>8</v>
      </c>
      <c r="G213" s="26" t="s">
        <v>569</v>
      </c>
      <c r="H213" s="26">
        <v>6</v>
      </c>
      <c r="I213" s="26">
        <v>6</v>
      </c>
      <c r="J213" s="16" t="s">
        <v>778</v>
      </c>
      <c r="K213" s="26" t="s">
        <v>5</v>
      </c>
      <c r="L213" s="90">
        <v>-8.4007269999999998</v>
      </c>
      <c r="M213" s="121"/>
    </row>
    <row r="214" spans="1:13" ht="36.6" customHeight="1" x14ac:dyDescent="0.25">
      <c r="A214" s="148"/>
      <c r="B214" s="187"/>
      <c r="C214" s="31" t="s">
        <v>257</v>
      </c>
      <c r="D214" s="16" t="s">
        <v>446</v>
      </c>
      <c r="E214" s="16" t="s">
        <v>643</v>
      </c>
      <c r="F214" s="16">
        <v>6</v>
      </c>
      <c r="G214" s="16" t="s">
        <v>583</v>
      </c>
      <c r="H214" s="16">
        <v>12</v>
      </c>
      <c r="I214" s="16">
        <v>12</v>
      </c>
      <c r="J214" s="16" t="s">
        <v>779</v>
      </c>
      <c r="K214" s="16" t="s">
        <v>5</v>
      </c>
      <c r="L214" s="90">
        <v>-9.4421379999999999</v>
      </c>
      <c r="M214" s="121"/>
    </row>
    <row r="215" spans="1:13" ht="36.6" customHeight="1" thickBot="1" x14ac:dyDescent="0.3">
      <c r="A215" s="149"/>
      <c r="B215" s="188"/>
      <c r="C215" s="83" t="s">
        <v>258</v>
      </c>
      <c r="D215" s="29" t="s">
        <v>447</v>
      </c>
      <c r="E215" s="29" t="s">
        <v>729</v>
      </c>
      <c r="F215" s="29">
        <v>8</v>
      </c>
      <c r="G215" s="29" t="s">
        <v>583</v>
      </c>
      <c r="H215" s="29">
        <v>12</v>
      </c>
      <c r="I215" s="29">
        <v>12</v>
      </c>
      <c r="J215" s="18" t="s">
        <v>780</v>
      </c>
      <c r="K215" s="29" t="s">
        <v>5</v>
      </c>
      <c r="L215" s="92">
        <v>-10.48404</v>
      </c>
      <c r="M215" s="122"/>
    </row>
    <row r="216" spans="1:13" ht="24.6" customHeight="1" x14ac:dyDescent="0.25">
      <c r="A216" s="189" t="s">
        <v>26</v>
      </c>
      <c r="B216" s="166"/>
      <c r="C216" s="51" t="s">
        <v>259</v>
      </c>
      <c r="D216" s="42" t="s">
        <v>448</v>
      </c>
      <c r="E216" s="42" t="s">
        <v>665</v>
      </c>
      <c r="F216" s="42">
        <v>3</v>
      </c>
      <c r="G216" s="42" t="s">
        <v>781</v>
      </c>
      <c r="H216" s="42">
        <v>12</v>
      </c>
      <c r="I216" s="42">
        <f>H216+5</f>
        <v>17</v>
      </c>
      <c r="J216" s="33" t="s">
        <v>782</v>
      </c>
      <c r="K216" s="42" t="s">
        <v>27</v>
      </c>
      <c r="L216" s="75">
        <v>-3.5069299999999997</v>
      </c>
      <c r="M216" s="123">
        <v>31</v>
      </c>
    </row>
    <row r="217" spans="1:13" ht="24.6" customHeight="1" x14ac:dyDescent="0.25">
      <c r="A217" s="190"/>
      <c r="B217" s="167"/>
      <c r="C217" s="8" t="s">
        <v>260</v>
      </c>
      <c r="D217" s="4" t="s">
        <v>449</v>
      </c>
      <c r="E217" s="4" t="s">
        <v>728</v>
      </c>
      <c r="F217" s="4">
        <v>4</v>
      </c>
      <c r="G217" s="4" t="s">
        <v>781</v>
      </c>
      <c r="H217" s="4">
        <v>12</v>
      </c>
      <c r="I217" s="6">
        <f t="shared" ref="I217:I220" si="8">H217+5</f>
        <v>17</v>
      </c>
      <c r="J217" s="4" t="s">
        <v>783</v>
      </c>
      <c r="K217" s="4" t="s">
        <v>27</v>
      </c>
      <c r="L217" s="77">
        <v>-3.6807439999999998</v>
      </c>
      <c r="M217" s="124"/>
    </row>
    <row r="218" spans="1:13" ht="24.6" customHeight="1" x14ac:dyDescent="0.25">
      <c r="A218" s="190"/>
      <c r="B218" s="167"/>
      <c r="C218" s="52" t="s">
        <v>261</v>
      </c>
      <c r="D218" s="6" t="s">
        <v>450</v>
      </c>
      <c r="E218" s="6" t="s">
        <v>784</v>
      </c>
      <c r="F218" s="6">
        <v>5</v>
      </c>
      <c r="G218" s="6" t="s">
        <v>781</v>
      </c>
      <c r="H218" s="6">
        <v>12</v>
      </c>
      <c r="I218" s="6">
        <f t="shared" si="8"/>
        <v>17</v>
      </c>
      <c r="J218" s="4" t="s">
        <v>785</v>
      </c>
      <c r="K218" s="6" t="s">
        <v>27</v>
      </c>
      <c r="L218" s="77">
        <v>-3.8540669999999997</v>
      </c>
      <c r="M218" s="124"/>
    </row>
    <row r="219" spans="1:13" ht="24.6" customHeight="1" x14ac:dyDescent="0.25">
      <c r="A219" s="190"/>
      <c r="B219" s="167"/>
      <c r="C219" s="8" t="s">
        <v>262</v>
      </c>
      <c r="D219" s="4" t="s">
        <v>451</v>
      </c>
      <c r="E219" s="4" t="s">
        <v>643</v>
      </c>
      <c r="F219" s="4">
        <v>6</v>
      </c>
      <c r="G219" s="4" t="s">
        <v>781</v>
      </c>
      <c r="H219" s="4">
        <v>12</v>
      </c>
      <c r="I219" s="6">
        <f t="shared" si="8"/>
        <v>17</v>
      </c>
      <c r="J219" s="4" t="s">
        <v>786</v>
      </c>
      <c r="K219" s="4" t="s">
        <v>27</v>
      </c>
      <c r="L219" s="77">
        <v>-4.0278809999999998</v>
      </c>
      <c r="M219" s="124"/>
    </row>
    <row r="220" spans="1:13" ht="24.6" customHeight="1" x14ac:dyDescent="0.25">
      <c r="A220" s="190"/>
      <c r="B220" s="167"/>
      <c r="C220" s="52" t="s">
        <v>263</v>
      </c>
      <c r="D220" s="6" t="s">
        <v>452</v>
      </c>
      <c r="E220" s="6" t="s">
        <v>729</v>
      </c>
      <c r="F220" s="6">
        <v>8</v>
      </c>
      <c r="G220" s="6" t="s">
        <v>781</v>
      </c>
      <c r="H220" s="6">
        <v>12</v>
      </c>
      <c r="I220" s="6">
        <f t="shared" si="8"/>
        <v>17</v>
      </c>
      <c r="J220" s="4" t="s">
        <v>565</v>
      </c>
      <c r="K220" s="6" t="s">
        <v>27</v>
      </c>
      <c r="L220" s="77">
        <v>-4.3750180000000007</v>
      </c>
      <c r="M220" s="125"/>
    </row>
    <row r="221" spans="1:13" s="1" customFormat="1" ht="41.45" customHeight="1" x14ac:dyDescent="0.25">
      <c r="A221" s="190"/>
      <c r="B221" s="146"/>
      <c r="C221" s="36" t="s">
        <v>264</v>
      </c>
      <c r="D221" s="44" t="s">
        <v>453</v>
      </c>
      <c r="E221" s="44" t="s">
        <v>753</v>
      </c>
      <c r="F221" s="44">
        <v>5</v>
      </c>
      <c r="G221" s="44" t="s">
        <v>753</v>
      </c>
      <c r="H221" s="44">
        <v>10</v>
      </c>
      <c r="I221" s="44">
        <v>11</v>
      </c>
      <c r="J221" s="44" t="s">
        <v>787</v>
      </c>
      <c r="K221" s="44" t="s">
        <v>25</v>
      </c>
      <c r="L221" s="72">
        <v>-3.9262439999999996</v>
      </c>
      <c r="M221" s="73">
        <v>30</v>
      </c>
    </row>
    <row r="222" spans="1:13" s="1" customFormat="1" ht="41.45" customHeight="1" x14ac:dyDescent="0.25">
      <c r="A222" s="190"/>
      <c r="B222" s="146"/>
      <c r="C222" s="84" t="s">
        <v>265</v>
      </c>
      <c r="D222" s="38" t="s">
        <v>454</v>
      </c>
      <c r="E222" s="38" t="s">
        <v>753</v>
      </c>
      <c r="F222" s="38">
        <v>5</v>
      </c>
      <c r="G222" s="38" t="s">
        <v>753</v>
      </c>
      <c r="H222" s="38">
        <v>6</v>
      </c>
      <c r="I222" s="38">
        <v>7</v>
      </c>
      <c r="J222" s="44" t="s">
        <v>788</v>
      </c>
      <c r="K222" s="38" t="s">
        <v>25</v>
      </c>
      <c r="L222" s="72">
        <v>-2.5372050000000002</v>
      </c>
      <c r="M222" s="126">
        <v>29</v>
      </c>
    </row>
    <row r="223" spans="1:13" s="1" customFormat="1" ht="41.45" customHeight="1" x14ac:dyDescent="0.25">
      <c r="A223" s="190"/>
      <c r="B223" s="146"/>
      <c r="C223" s="36" t="s">
        <v>266</v>
      </c>
      <c r="D223" s="44" t="s">
        <v>455</v>
      </c>
      <c r="E223" s="44" t="s">
        <v>753</v>
      </c>
      <c r="F223" s="44">
        <v>5</v>
      </c>
      <c r="G223" s="44" t="s">
        <v>753</v>
      </c>
      <c r="H223" s="44">
        <v>7</v>
      </c>
      <c r="I223" s="44">
        <v>8</v>
      </c>
      <c r="J223" s="44" t="s">
        <v>789</v>
      </c>
      <c r="K223" s="44" t="s">
        <v>25</v>
      </c>
      <c r="L223" s="72">
        <v>-2.8843419999999993</v>
      </c>
      <c r="M223" s="127"/>
    </row>
    <row r="224" spans="1:13" s="1" customFormat="1" ht="41.45" customHeight="1" x14ac:dyDescent="0.25">
      <c r="A224" s="190"/>
      <c r="B224" s="146"/>
      <c r="C224" s="84" t="s">
        <v>267</v>
      </c>
      <c r="D224" s="38" t="s">
        <v>456</v>
      </c>
      <c r="E224" s="38" t="s">
        <v>753</v>
      </c>
      <c r="F224" s="38">
        <v>5</v>
      </c>
      <c r="G224" s="38" t="s">
        <v>753</v>
      </c>
      <c r="H224" s="38">
        <v>16</v>
      </c>
      <c r="I224" s="38">
        <v>17</v>
      </c>
      <c r="J224" s="44" t="s">
        <v>790</v>
      </c>
      <c r="K224" s="38" t="s">
        <v>25</v>
      </c>
      <c r="L224" s="72">
        <v>-6.0090660000000007</v>
      </c>
      <c r="M224" s="128"/>
    </row>
    <row r="225" spans="1:13" ht="37.5" customHeight="1" x14ac:dyDescent="0.25">
      <c r="A225" s="190"/>
      <c r="B225" s="153"/>
      <c r="C225" s="8" t="s">
        <v>269</v>
      </c>
      <c r="D225" s="4" t="s">
        <v>457</v>
      </c>
      <c r="E225" s="4" t="s">
        <v>825</v>
      </c>
      <c r="F225" s="4">
        <v>6</v>
      </c>
      <c r="G225" s="4" t="s">
        <v>753</v>
      </c>
      <c r="H225" s="4">
        <v>12</v>
      </c>
      <c r="I225" s="4">
        <v>15</v>
      </c>
      <c r="J225" s="4" t="s">
        <v>565</v>
      </c>
      <c r="K225" s="4" t="s">
        <v>25</v>
      </c>
      <c r="L225" s="77">
        <v>-4.0995670000000004</v>
      </c>
      <c r="M225" s="129">
        <v>28</v>
      </c>
    </row>
    <row r="226" spans="1:13" ht="37.5" customHeight="1" x14ac:dyDescent="0.25">
      <c r="A226" s="190"/>
      <c r="B226" s="153"/>
      <c r="C226" s="52" t="s">
        <v>268</v>
      </c>
      <c r="D226" s="6" t="s">
        <v>458</v>
      </c>
      <c r="E226" s="6" t="s">
        <v>826</v>
      </c>
      <c r="F226" s="6">
        <v>10</v>
      </c>
      <c r="G226" s="6" t="s">
        <v>753</v>
      </c>
      <c r="H226" s="6">
        <v>12</v>
      </c>
      <c r="I226" s="6">
        <v>15</v>
      </c>
      <c r="J226" s="4" t="s">
        <v>566</v>
      </c>
      <c r="K226" s="6" t="s">
        <v>25</v>
      </c>
      <c r="L226" s="77">
        <v>-4.4467039999999987</v>
      </c>
      <c r="M226" s="130"/>
    </row>
    <row r="227" spans="1:13" ht="18" x14ac:dyDescent="0.25">
      <c r="A227" s="190"/>
      <c r="B227" s="146"/>
      <c r="C227" s="36" t="s">
        <v>270</v>
      </c>
      <c r="D227" s="44" t="s">
        <v>459</v>
      </c>
      <c r="E227" s="44" t="s">
        <v>753</v>
      </c>
      <c r="F227" s="44">
        <v>2</v>
      </c>
      <c r="G227" s="44" t="s">
        <v>581</v>
      </c>
      <c r="H227" s="44">
        <v>10</v>
      </c>
      <c r="I227" s="44">
        <v>13</v>
      </c>
      <c r="J227" s="44" t="s">
        <v>791</v>
      </c>
      <c r="K227" s="44" t="s">
        <v>27</v>
      </c>
      <c r="L227" s="72">
        <v>-2.0167450000000002</v>
      </c>
      <c r="M227" s="133">
        <v>31</v>
      </c>
    </row>
    <row r="228" spans="1:13" ht="18" x14ac:dyDescent="0.25">
      <c r="A228" s="190"/>
      <c r="B228" s="146"/>
      <c r="C228" s="84" t="s">
        <v>271</v>
      </c>
      <c r="D228" s="44" t="s">
        <v>461</v>
      </c>
      <c r="E228" s="38" t="s">
        <v>753</v>
      </c>
      <c r="F228" s="38">
        <v>4</v>
      </c>
      <c r="G228" s="38" t="s">
        <v>581</v>
      </c>
      <c r="H228" s="38">
        <v>10</v>
      </c>
      <c r="I228" s="38">
        <v>13</v>
      </c>
      <c r="J228" s="44" t="s">
        <v>792</v>
      </c>
      <c r="K228" s="38" t="s">
        <v>27</v>
      </c>
      <c r="L228" s="72">
        <v>-2.3638819999999994</v>
      </c>
      <c r="M228" s="134"/>
    </row>
    <row r="229" spans="1:13" ht="18" x14ac:dyDescent="0.25">
      <c r="A229" s="190"/>
      <c r="B229" s="146"/>
      <c r="C229" s="36" t="s">
        <v>272</v>
      </c>
      <c r="D229" s="44" t="s">
        <v>465</v>
      </c>
      <c r="E229" s="44" t="s">
        <v>753</v>
      </c>
      <c r="F229" s="44">
        <v>6</v>
      </c>
      <c r="G229" s="44" t="s">
        <v>581</v>
      </c>
      <c r="H229" s="44">
        <v>10</v>
      </c>
      <c r="I229" s="44">
        <v>13</v>
      </c>
      <c r="J229" s="44" t="s">
        <v>793</v>
      </c>
      <c r="K229" s="44" t="s">
        <v>27</v>
      </c>
      <c r="L229" s="72">
        <v>-2.7110189999999994</v>
      </c>
      <c r="M229" s="134"/>
    </row>
    <row r="230" spans="1:13" ht="18" x14ac:dyDescent="0.25">
      <c r="A230" s="190"/>
      <c r="B230" s="146"/>
      <c r="C230" s="84" t="s">
        <v>273</v>
      </c>
      <c r="D230" s="44" t="s">
        <v>460</v>
      </c>
      <c r="E230" s="38" t="s">
        <v>753</v>
      </c>
      <c r="F230" s="38">
        <v>2</v>
      </c>
      <c r="G230" s="38" t="s">
        <v>583</v>
      </c>
      <c r="H230" s="38">
        <v>12</v>
      </c>
      <c r="I230" s="38">
        <v>15</v>
      </c>
      <c r="J230" s="44" t="s">
        <v>793</v>
      </c>
      <c r="K230" s="38" t="s">
        <v>27</v>
      </c>
      <c r="L230" s="72">
        <v>-2.7110189999999994</v>
      </c>
      <c r="M230" s="134"/>
    </row>
    <row r="231" spans="1:13" ht="18" x14ac:dyDescent="0.25">
      <c r="A231" s="190"/>
      <c r="B231" s="146"/>
      <c r="C231" s="36" t="s">
        <v>274</v>
      </c>
      <c r="D231" s="44" t="s">
        <v>462</v>
      </c>
      <c r="E231" s="44" t="s">
        <v>753</v>
      </c>
      <c r="F231" s="44">
        <v>4</v>
      </c>
      <c r="G231" s="44" t="s">
        <v>583</v>
      </c>
      <c r="H231" s="44">
        <v>12</v>
      </c>
      <c r="I231" s="44">
        <v>15</v>
      </c>
      <c r="J231" s="44" t="s">
        <v>794</v>
      </c>
      <c r="K231" s="44" t="s">
        <v>27</v>
      </c>
      <c r="L231" s="72">
        <v>-3.0581560000000003</v>
      </c>
      <c r="M231" s="134"/>
    </row>
    <row r="232" spans="1:13" ht="18" x14ac:dyDescent="0.25">
      <c r="A232" s="190"/>
      <c r="B232" s="146"/>
      <c r="C232" s="84" t="s">
        <v>275</v>
      </c>
      <c r="D232" s="44" t="s">
        <v>466</v>
      </c>
      <c r="E232" s="38" t="s">
        <v>753</v>
      </c>
      <c r="F232" s="38">
        <v>6</v>
      </c>
      <c r="G232" s="38" t="s">
        <v>583</v>
      </c>
      <c r="H232" s="38">
        <v>12</v>
      </c>
      <c r="I232" s="38">
        <v>15</v>
      </c>
      <c r="J232" s="44" t="s">
        <v>795</v>
      </c>
      <c r="K232" s="38" t="s">
        <v>27</v>
      </c>
      <c r="L232" s="72">
        <v>-3.4052929999999995</v>
      </c>
      <c r="M232" s="134"/>
    </row>
    <row r="233" spans="1:13" ht="18" x14ac:dyDescent="0.25">
      <c r="A233" s="190"/>
      <c r="B233" s="146"/>
      <c r="C233" s="36" t="s">
        <v>276</v>
      </c>
      <c r="D233" s="44" t="s">
        <v>464</v>
      </c>
      <c r="E233" s="44" t="s">
        <v>753</v>
      </c>
      <c r="F233" s="44">
        <v>2</v>
      </c>
      <c r="G233" s="44" t="s">
        <v>628</v>
      </c>
      <c r="H233" s="44">
        <v>14</v>
      </c>
      <c r="I233" s="44">
        <v>17</v>
      </c>
      <c r="J233" s="44" t="s">
        <v>795</v>
      </c>
      <c r="K233" s="44" t="s">
        <v>27</v>
      </c>
      <c r="L233" s="72">
        <v>-3.4052929999999995</v>
      </c>
      <c r="M233" s="134"/>
    </row>
    <row r="234" spans="1:13" ht="18" x14ac:dyDescent="0.25">
      <c r="A234" s="190"/>
      <c r="B234" s="146"/>
      <c r="C234" s="84" t="s">
        <v>277</v>
      </c>
      <c r="D234" s="44" t="s">
        <v>463</v>
      </c>
      <c r="E234" s="38" t="s">
        <v>753</v>
      </c>
      <c r="F234" s="38">
        <v>4</v>
      </c>
      <c r="G234" s="38" t="s">
        <v>628</v>
      </c>
      <c r="H234" s="38">
        <v>14</v>
      </c>
      <c r="I234" s="38">
        <v>17</v>
      </c>
      <c r="J234" s="44" t="s">
        <v>796</v>
      </c>
      <c r="K234" s="38" t="s">
        <v>27</v>
      </c>
      <c r="L234" s="72">
        <v>-3.7524300000000004</v>
      </c>
      <c r="M234" s="134"/>
    </row>
    <row r="235" spans="1:13" ht="18.75" thickBot="1" x14ac:dyDescent="0.3">
      <c r="A235" s="191"/>
      <c r="B235" s="159"/>
      <c r="C235" s="46" t="s">
        <v>278</v>
      </c>
      <c r="D235" s="41" t="s">
        <v>467</v>
      </c>
      <c r="E235" s="41" t="s">
        <v>753</v>
      </c>
      <c r="F235" s="41">
        <v>6</v>
      </c>
      <c r="G235" s="41" t="s">
        <v>628</v>
      </c>
      <c r="H235" s="41">
        <v>14</v>
      </c>
      <c r="I235" s="41">
        <v>17</v>
      </c>
      <c r="J235" s="41" t="s">
        <v>797</v>
      </c>
      <c r="K235" s="41" t="s">
        <v>27</v>
      </c>
      <c r="L235" s="74">
        <v>-4.0995670000000004</v>
      </c>
      <c r="M235" s="135"/>
    </row>
    <row r="236" spans="1:13" ht="160.5" customHeight="1" x14ac:dyDescent="0.25">
      <c r="A236" s="147" t="s">
        <v>17</v>
      </c>
      <c r="B236" s="20"/>
      <c r="C236" s="19" t="s">
        <v>279</v>
      </c>
      <c r="D236" s="21" t="s">
        <v>468</v>
      </c>
      <c r="E236" s="21" t="s">
        <v>646</v>
      </c>
      <c r="F236" s="21">
        <v>12</v>
      </c>
      <c r="G236" s="21" t="s">
        <v>583</v>
      </c>
      <c r="H236" s="21">
        <v>12</v>
      </c>
      <c r="I236" s="21">
        <v>12</v>
      </c>
      <c r="J236" s="21" t="s">
        <v>798</v>
      </c>
      <c r="K236" s="21" t="s">
        <v>799</v>
      </c>
      <c r="L236" s="89">
        <v>-5.8529279999999986</v>
      </c>
      <c r="M236" s="70">
        <v>44</v>
      </c>
    </row>
    <row r="237" spans="1:13" ht="148.5" customHeight="1" x14ac:dyDescent="0.25">
      <c r="A237" s="148"/>
      <c r="B237" s="43"/>
      <c r="C237" s="84" t="s">
        <v>280</v>
      </c>
      <c r="D237" s="38" t="s">
        <v>469</v>
      </c>
      <c r="E237" s="38" t="s">
        <v>646</v>
      </c>
      <c r="F237" s="38">
        <v>12</v>
      </c>
      <c r="G237" s="38" t="s">
        <v>583</v>
      </c>
      <c r="H237" s="38">
        <v>12</v>
      </c>
      <c r="I237" s="38">
        <v>12</v>
      </c>
      <c r="J237" s="44" t="s">
        <v>800</v>
      </c>
      <c r="K237" s="38" t="s">
        <v>799</v>
      </c>
      <c r="L237" s="72">
        <v>-6.1656949999999995</v>
      </c>
      <c r="M237" s="86">
        <v>44</v>
      </c>
    </row>
    <row r="238" spans="1:13" ht="156.94999999999999" customHeight="1" thickBot="1" x14ac:dyDescent="0.3">
      <c r="A238" s="149"/>
      <c r="B238" s="17"/>
      <c r="C238" s="27" t="s">
        <v>281</v>
      </c>
      <c r="D238" s="18" t="s">
        <v>470</v>
      </c>
      <c r="E238" s="18" t="s">
        <v>646</v>
      </c>
      <c r="F238" s="18">
        <v>12</v>
      </c>
      <c r="G238" s="18" t="s">
        <v>583</v>
      </c>
      <c r="H238" s="18">
        <v>12</v>
      </c>
      <c r="I238" s="18">
        <v>12</v>
      </c>
      <c r="J238" s="18" t="s">
        <v>798</v>
      </c>
      <c r="K238" s="18" t="s">
        <v>799</v>
      </c>
      <c r="L238" s="92">
        <v>-6.1656949999999995</v>
      </c>
      <c r="M238" s="93">
        <v>44</v>
      </c>
    </row>
    <row r="239" spans="1:13" ht="117" customHeight="1" x14ac:dyDescent="0.25">
      <c r="A239" s="155" t="s">
        <v>18</v>
      </c>
      <c r="B239" s="166"/>
      <c r="C239" s="34" t="s">
        <v>282</v>
      </c>
      <c r="D239" s="33" t="s">
        <v>471</v>
      </c>
      <c r="E239" s="33" t="s">
        <v>10</v>
      </c>
      <c r="F239" s="33">
        <v>1</v>
      </c>
      <c r="G239" s="33" t="s">
        <v>618</v>
      </c>
      <c r="H239" s="33">
        <v>11</v>
      </c>
      <c r="I239" s="33">
        <v>11</v>
      </c>
      <c r="J239" s="33" t="s">
        <v>801</v>
      </c>
      <c r="K239" s="33" t="s">
        <v>5</v>
      </c>
      <c r="L239" s="75">
        <v>-7.3357479999999988</v>
      </c>
      <c r="M239" s="131">
        <v>7</v>
      </c>
    </row>
    <row r="240" spans="1:13" ht="117" customHeight="1" thickBot="1" x14ac:dyDescent="0.3">
      <c r="A240" s="157"/>
      <c r="B240" s="185"/>
      <c r="C240" s="97" t="s">
        <v>283</v>
      </c>
      <c r="D240" s="14" t="s">
        <v>472</v>
      </c>
      <c r="E240" s="14" t="s">
        <v>10</v>
      </c>
      <c r="F240" s="14">
        <v>1</v>
      </c>
      <c r="G240" s="14" t="s">
        <v>802</v>
      </c>
      <c r="H240" s="14">
        <v>13</v>
      </c>
      <c r="I240" s="14">
        <v>13</v>
      </c>
      <c r="J240" s="11" t="s">
        <v>803</v>
      </c>
      <c r="K240" s="14" t="s">
        <v>5</v>
      </c>
      <c r="L240" s="79">
        <v>-8.0305130000000009</v>
      </c>
      <c r="M240" s="132"/>
    </row>
    <row r="241" spans="1:13" ht="177" customHeight="1" thickBot="1" x14ac:dyDescent="0.3">
      <c r="A241" s="118" t="s">
        <v>23</v>
      </c>
      <c r="B241" s="19"/>
      <c r="C241" s="19" t="s">
        <v>284</v>
      </c>
      <c r="D241" s="21" t="s">
        <v>473</v>
      </c>
      <c r="E241" s="21" t="s">
        <v>660</v>
      </c>
      <c r="F241" s="21">
        <v>2</v>
      </c>
      <c r="G241" s="21" t="s">
        <v>577</v>
      </c>
      <c r="H241" s="21">
        <v>8</v>
      </c>
      <c r="I241" s="21"/>
      <c r="J241" s="21" t="s">
        <v>804</v>
      </c>
      <c r="K241" s="53" t="s">
        <v>14</v>
      </c>
      <c r="L241" s="89">
        <v>-4.3043139999999998</v>
      </c>
      <c r="M241" s="70">
        <v>33</v>
      </c>
    </row>
    <row r="242" spans="1:13" ht="66" customHeight="1" thickBot="1" x14ac:dyDescent="0.3">
      <c r="A242" s="113" t="s">
        <v>24</v>
      </c>
      <c r="B242" s="54"/>
      <c r="C242" s="99" t="s">
        <v>286</v>
      </c>
      <c r="D242" s="55" t="s">
        <v>474</v>
      </c>
      <c r="E242" s="55" t="s">
        <v>704</v>
      </c>
      <c r="F242" s="55">
        <v>10</v>
      </c>
      <c r="G242" s="55"/>
      <c r="H242" s="55">
        <v>5</v>
      </c>
      <c r="I242" s="55">
        <v>5</v>
      </c>
      <c r="J242" s="61" t="s">
        <v>567</v>
      </c>
      <c r="K242" s="55" t="s">
        <v>285</v>
      </c>
      <c r="L242" s="100">
        <v>-3.67387</v>
      </c>
      <c r="M242" s="101">
        <v>33</v>
      </c>
    </row>
    <row r="243" spans="1:13" ht="56.1" customHeight="1" x14ac:dyDescent="0.25">
      <c r="A243" s="175" t="s">
        <v>28</v>
      </c>
      <c r="B243" s="150"/>
      <c r="C243" s="19" t="s">
        <v>287</v>
      </c>
      <c r="D243" s="21" t="s">
        <v>475</v>
      </c>
      <c r="E243" s="21" t="s">
        <v>827</v>
      </c>
      <c r="F243" s="21">
        <v>11</v>
      </c>
      <c r="G243" s="21" t="s">
        <v>805</v>
      </c>
      <c r="H243" s="21">
        <v>1</v>
      </c>
      <c r="I243" s="21">
        <v>4</v>
      </c>
      <c r="J243" s="21" t="s">
        <v>806</v>
      </c>
      <c r="K243" s="21" t="s">
        <v>25</v>
      </c>
      <c r="L243" s="89">
        <v>-0.94096399999999925</v>
      </c>
      <c r="M243" s="120">
        <v>38</v>
      </c>
    </row>
    <row r="244" spans="1:13" ht="56.1" customHeight="1" x14ac:dyDescent="0.25">
      <c r="A244" s="176"/>
      <c r="B244" s="151"/>
      <c r="C244" s="81" t="s">
        <v>288</v>
      </c>
      <c r="D244" s="16" t="s">
        <v>476</v>
      </c>
      <c r="E244" s="26" t="s">
        <v>828</v>
      </c>
      <c r="F244" s="26">
        <v>13</v>
      </c>
      <c r="G244" s="26" t="s">
        <v>805</v>
      </c>
      <c r="H244" s="26">
        <v>1</v>
      </c>
      <c r="I244" s="26">
        <v>4</v>
      </c>
      <c r="J244" s="16" t="s">
        <v>807</v>
      </c>
      <c r="K244" s="26" t="s">
        <v>25</v>
      </c>
      <c r="L244" s="90">
        <v>-1.2881010000000002</v>
      </c>
      <c r="M244" s="121"/>
    </row>
    <row r="245" spans="1:13" ht="56.1" customHeight="1" thickBot="1" x14ac:dyDescent="0.3">
      <c r="A245" s="177"/>
      <c r="B245" s="158"/>
      <c r="C245" s="27" t="s">
        <v>289</v>
      </c>
      <c r="D245" s="18" t="s">
        <v>477</v>
      </c>
      <c r="E245" s="18" t="s">
        <v>829</v>
      </c>
      <c r="F245" s="18">
        <v>15</v>
      </c>
      <c r="G245" s="18" t="s">
        <v>805</v>
      </c>
      <c r="H245" s="18">
        <v>1</v>
      </c>
      <c r="I245" s="18">
        <v>4</v>
      </c>
      <c r="J245" s="18" t="s">
        <v>808</v>
      </c>
      <c r="K245" s="18" t="s">
        <v>25</v>
      </c>
      <c r="L245" s="92">
        <v>-1.6352379999999993</v>
      </c>
      <c r="M245" s="122"/>
    </row>
    <row r="246" spans="1:13" ht="98.1" customHeight="1" x14ac:dyDescent="0.25">
      <c r="A246" s="155" t="s">
        <v>29</v>
      </c>
      <c r="B246" s="56"/>
      <c r="C246" s="34" t="s">
        <v>294</v>
      </c>
      <c r="D246" s="42" t="s">
        <v>478</v>
      </c>
      <c r="E246" s="33" t="s">
        <v>809</v>
      </c>
      <c r="F246" s="33">
        <v>5</v>
      </c>
      <c r="G246" s="33" t="s">
        <v>583</v>
      </c>
      <c r="H246" s="33">
        <v>12</v>
      </c>
      <c r="I246" s="33">
        <v>12</v>
      </c>
      <c r="J246" s="33" t="s">
        <v>810</v>
      </c>
      <c r="K246" s="33" t="s">
        <v>27</v>
      </c>
      <c r="L246" s="75">
        <v>-3.0871249999999995</v>
      </c>
      <c r="M246" s="94">
        <v>45</v>
      </c>
    </row>
    <row r="247" spans="1:13" ht="83.1" customHeight="1" x14ac:dyDescent="0.25">
      <c r="A247" s="156"/>
      <c r="B247" s="58"/>
      <c r="C247" s="84" t="s">
        <v>295</v>
      </c>
      <c r="D247" s="38" t="s">
        <v>479</v>
      </c>
      <c r="E247" s="38" t="s">
        <v>811</v>
      </c>
      <c r="F247" s="38">
        <v>8</v>
      </c>
      <c r="G247" s="38" t="s">
        <v>583</v>
      </c>
      <c r="H247" s="38">
        <v>12</v>
      </c>
      <c r="I247" s="44">
        <v>12</v>
      </c>
      <c r="J247" s="38" t="s">
        <v>812</v>
      </c>
      <c r="K247" s="38" t="s">
        <v>27</v>
      </c>
      <c r="L247" s="72">
        <v>-3.9129869999999993</v>
      </c>
      <c r="M247" s="86">
        <v>45</v>
      </c>
    </row>
    <row r="248" spans="1:13" ht="78.599999999999994" customHeight="1" thickBot="1" x14ac:dyDescent="0.3">
      <c r="A248" s="157"/>
      <c r="B248" s="57"/>
      <c r="C248" s="12" t="s">
        <v>296</v>
      </c>
      <c r="D248" s="14" t="s">
        <v>480</v>
      </c>
      <c r="E248" s="11" t="s">
        <v>813</v>
      </c>
      <c r="F248" s="11">
        <v>7</v>
      </c>
      <c r="G248" s="11" t="s">
        <v>583</v>
      </c>
      <c r="H248" s="11">
        <v>12</v>
      </c>
      <c r="I248" s="11">
        <v>12</v>
      </c>
      <c r="J248" s="11" t="s">
        <v>814</v>
      </c>
      <c r="K248" s="11" t="s">
        <v>27</v>
      </c>
      <c r="L248" s="79">
        <v>-3.4342620000000004</v>
      </c>
      <c r="M248" s="98">
        <v>45</v>
      </c>
    </row>
    <row r="249" spans="1:13" ht="64.5" customHeight="1" thickBot="1" x14ac:dyDescent="0.3">
      <c r="A249" s="114" t="s">
        <v>30</v>
      </c>
      <c r="B249" s="59"/>
      <c r="C249" s="102" t="s">
        <v>297</v>
      </c>
      <c r="D249" s="60" t="s">
        <v>481</v>
      </c>
      <c r="E249" s="60" t="s">
        <v>815</v>
      </c>
      <c r="F249" s="60">
        <v>7</v>
      </c>
      <c r="G249" s="60" t="s">
        <v>583</v>
      </c>
      <c r="H249" s="60">
        <v>12</v>
      </c>
      <c r="I249" s="103">
        <v>12</v>
      </c>
      <c r="J249" s="60" t="s">
        <v>816</v>
      </c>
      <c r="K249" s="60" t="s">
        <v>27</v>
      </c>
      <c r="L249" s="104">
        <v>-3.1288600000000004</v>
      </c>
      <c r="M249" s="105">
        <v>45</v>
      </c>
    </row>
    <row r="250" spans="1:13" ht="69.95" customHeight="1" thickBot="1" x14ac:dyDescent="0.3">
      <c r="A250" s="116" t="s">
        <v>299</v>
      </c>
      <c r="B250" s="54"/>
      <c r="C250" s="106" t="s">
        <v>298</v>
      </c>
      <c r="D250" s="55" t="s">
        <v>482</v>
      </c>
      <c r="E250" s="61" t="s">
        <v>830</v>
      </c>
      <c r="F250" s="61">
        <v>5</v>
      </c>
      <c r="G250" s="61" t="s">
        <v>583</v>
      </c>
      <c r="H250" s="61">
        <v>12</v>
      </c>
      <c r="I250" s="61">
        <v>12</v>
      </c>
      <c r="J250" s="61" t="s">
        <v>689</v>
      </c>
      <c r="K250" s="61" t="s">
        <v>27</v>
      </c>
      <c r="L250" s="100">
        <v>-2.7817229999999995</v>
      </c>
      <c r="M250" s="101">
        <v>45</v>
      </c>
    </row>
    <row r="251" spans="1:13" ht="193.5" customHeight="1" x14ac:dyDescent="0.25">
      <c r="A251" s="171" t="s">
        <v>32</v>
      </c>
      <c r="B251" s="62"/>
      <c r="C251" s="107" t="s">
        <v>300</v>
      </c>
      <c r="D251" s="63" t="s">
        <v>483</v>
      </c>
      <c r="E251" s="63" t="s">
        <v>33</v>
      </c>
      <c r="F251" s="63">
        <v>1</v>
      </c>
      <c r="G251" s="63" t="s">
        <v>583</v>
      </c>
      <c r="H251" s="63">
        <v>12</v>
      </c>
      <c r="I251" s="108">
        <v>12</v>
      </c>
      <c r="J251" s="63" t="s">
        <v>817</v>
      </c>
      <c r="K251" s="63" t="s">
        <v>25</v>
      </c>
      <c r="L251" s="109">
        <v>-8.1616099999999996</v>
      </c>
      <c r="M251" s="119">
        <v>45</v>
      </c>
    </row>
    <row r="252" spans="1:13" ht="174.95" customHeight="1" thickBot="1" x14ac:dyDescent="0.3">
      <c r="A252" s="149"/>
      <c r="B252" s="39"/>
      <c r="C252" s="46" t="s">
        <v>301</v>
      </c>
      <c r="D252" s="45" t="s">
        <v>484</v>
      </c>
      <c r="E252" s="41" t="s">
        <v>33</v>
      </c>
      <c r="F252" s="41">
        <v>1</v>
      </c>
      <c r="G252" s="41" t="s">
        <v>583</v>
      </c>
      <c r="H252" s="41">
        <v>12</v>
      </c>
      <c r="I252" s="41">
        <v>12</v>
      </c>
      <c r="J252" s="41" t="s">
        <v>818</v>
      </c>
      <c r="K252" s="41" t="s">
        <v>25</v>
      </c>
      <c r="L252" s="74">
        <v>-8.733625</v>
      </c>
      <c r="M252" s="41">
        <v>45</v>
      </c>
    </row>
  </sheetData>
  <sortState xmlns:xlrd2="http://schemas.microsoft.com/office/spreadsheetml/2017/richdata2" ref="C57:M64">
    <sortCondition ref="C57"/>
  </sortState>
  <mergeCells count="97">
    <mergeCell ref="A1:M1"/>
    <mergeCell ref="A251:A252"/>
    <mergeCell ref="A200:A204"/>
    <mergeCell ref="A246:A248"/>
    <mergeCell ref="A243:A245"/>
    <mergeCell ref="B243:B245"/>
    <mergeCell ref="B200:B202"/>
    <mergeCell ref="A205:A208"/>
    <mergeCell ref="B205:B208"/>
    <mergeCell ref="A236:A238"/>
    <mergeCell ref="A239:A240"/>
    <mergeCell ref="B239:B240"/>
    <mergeCell ref="A209:A211"/>
    <mergeCell ref="B209:B211"/>
    <mergeCell ref="A212:A215"/>
    <mergeCell ref="B212:B215"/>
    <mergeCell ref="A216:A235"/>
    <mergeCell ref="B216:B220"/>
    <mergeCell ref="B221:B224"/>
    <mergeCell ref="B225:B226"/>
    <mergeCell ref="B227:B235"/>
    <mergeCell ref="A197:A199"/>
    <mergeCell ref="B185:B194"/>
    <mergeCell ref="B177:B179"/>
    <mergeCell ref="B181:B182"/>
    <mergeCell ref="A130:A184"/>
    <mergeCell ref="B197:B199"/>
    <mergeCell ref="B195:B196"/>
    <mergeCell ref="A185:A196"/>
    <mergeCell ref="B169:B171"/>
    <mergeCell ref="B163:B168"/>
    <mergeCell ref="B158:B159"/>
    <mergeCell ref="B160:B162"/>
    <mergeCell ref="B173:B175"/>
    <mergeCell ref="B111:B125"/>
    <mergeCell ref="B152:B157"/>
    <mergeCell ref="B130:B151"/>
    <mergeCell ref="A111:A129"/>
    <mergeCell ref="B126:B127"/>
    <mergeCell ref="A75:A79"/>
    <mergeCell ref="B75:B79"/>
    <mergeCell ref="A83:A98"/>
    <mergeCell ref="B95:B98"/>
    <mergeCell ref="A102:A110"/>
    <mergeCell ref="B102:B110"/>
    <mergeCell ref="A99:A101"/>
    <mergeCell ref="B100:B101"/>
    <mergeCell ref="A80:A82"/>
    <mergeCell ref="B81:B82"/>
    <mergeCell ref="B83:B88"/>
    <mergeCell ref="B91:B92"/>
    <mergeCell ref="B93:B94"/>
    <mergeCell ref="B50:B56"/>
    <mergeCell ref="A3:A65"/>
    <mergeCell ref="B3:B49"/>
    <mergeCell ref="B66:B74"/>
    <mergeCell ref="B57:B64"/>
    <mergeCell ref="A66:A74"/>
    <mergeCell ref="M66:M74"/>
    <mergeCell ref="M75:M79"/>
    <mergeCell ref="M83:M88"/>
    <mergeCell ref="M3:M49"/>
    <mergeCell ref="M50:M56"/>
    <mergeCell ref="M57:M64"/>
    <mergeCell ref="M81:M82"/>
    <mergeCell ref="M91:M92"/>
    <mergeCell ref="M93:M94"/>
    <mergeCell ref="M95:M98"/>
    <mergeCell ref="M100:M101"/>
    <mergeCell ref="M102:M110"/>
    <mergeCell ref="M111:M125"/>
    <mergeCell ref="M126:M127"/>
    <mergeCell ref="M133:M134"/>
    <mergeCell ref="M135:M136"/>
    <mergeCell ref="M138:M143"/>
    <mergeCell ref="M145:M151"/>
    <mergeCell ref="M152:M157"/>
    <mergeCell ref="M158:M159"/>
    <mergeCell ref="M160:M162"/>
    <mergeCell ref="M163:M168"/>
    <mergeCell ref="M173:M175"/>
    <mergeCell ref="M169:M171"/>
    <mergeCell ref="M177:M179"/>
    <mergeCell ref="M181:M182"/>
    <mergeCell ref="M185:M194"/>
    <mergeCell ref="M195:M196"/>
    <mergeCell ref="M197:M199"/>
    <mergeCell ref="M200:M202"/>
    <mergeCell ref="M205:M208"/>
    <mergeCell ref="M209:M211"/>
    <mergeCell ref="M243:M245"/>
    <mergeCell ref="M212:M215"/>
    <mergeCell ref="M216:M220"/>
    <mergeCell ref="M222:M224"/>
    <mergeCell ref="M225:M226"/>
    <mergeCell ref="M239:M240"/>
    <mergeCell ref="M227:M23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NoweZestawienie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DDragon</dc:creator>
  <cp:lastModifiedBy>Mateusz</cp:lastModifiedBy>
  <dcterms:created xsi:type="dcterms:W3CDTF">2017-02-14T12:11:39Z</dcterms:created>
  <dcterms:modified xsi:type="dcterms:W3CDTF">2023-08-18T10:30:12Z</dcterms:modified>
</cp:coreProperties>
</file>